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iego\OneDrive\Desktop\Auction house api\Auction-house\"/>
    </mc:Choice>
  </mc:AlternateContent>
  <xr:revisionPtr revIDLastSave="0" documentId="13_ncr:1_{FFBC6199-73BA-4BBF-88A7-4132960BFC5F}" xr6:coauthVersionLast="47" xr6:coauthVersionMax="47" xr10:uidLastSave="{00000000-0000-0000-0000-000000000000}"/>
  <bookViews>
    <workbookView xWindow="9180" yWindow="-16320" windowWidth="29040" windowHeight="15720" activeTab="2" xr2:uid="{00000000-000D-0000-FFFF-FFFF00000000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Hoja1!$C$3:$J$68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6" i="3" l="1" a="1"/>
  <c r="K16" i="3" s="1"/>
  <c r="M12" i="3"/>
  <c r="M11" i="3"/>
  <c r="M10" i="3"/>
  <c r="M9" i="3"/>
  <c r="M8" i="3"/>
  <c r="M7" i="3"/>
  <c r="M6" i="3"/>
  <c r="M5" i="3"/>
  <c r="M4" i="3"/>
  <c r="M3" i="3"/>
  <c r="AB27" i="2"/>
  <c r="AB26" i="2"/>
  <c r="AA26" i="2"/>
  <c r="AA27" i="2" s="1"/>
  <c r="Z26" i="2"/>
  <c r="Z27" i="2" s="1"/>
  <c r="Y26" i="2"/>
  <c r="Y27" i="2" s="1"/>
  <c r="AC27" i="2" l="1"/>
</calcChain>
</file>

<file path=xl/sharedStrings.xml><?xml version="1.0" encoding="utf-8"?>
<sst xmlns="http://schemas.openxmlformats.org/spreadsheetml/2006/main" count="732" uniqueCount="188">
  <si>
    <t>Nº</t>
  </si>
  <si>
    <t>Class</t>
  </si>
  <si>
    <t>Server</t>
  </si>
  <si>
    <t>Name</t>
  </si>
  <si>
    <t>Race</t>
  </si>
  <si>
    <t>Gender</t>
  </si>
  <si>
    <t>Faction</t>
  </si>
  <si>
    <t>Level</t>
  </si>
  <si>
    <t>Ilvl</t>
  </si>
  <si>
    <t>Warrior</t>
  </si>
  <si>
    <t>Moonguard</t>
  </si>
  <si>
    <t>Riveant</t>
  </si>
  <si>
    <t>Worgen</t>
  </si>
  <si>
    <t>M</t>
  </si>
  <si>
    <t>Alliance</t>
  </si>
  <si>
    <t>Hunter</t>
  </si>
  <si>
    <t>Rivvex</t>
  </si>
  <si>
    <t>Night elf</t>
  </si>
  <si>
    <t>F</t>
  </si>
  <si>
    <t>Priest</t>
  </si>
  <si>
    <t>Luxmine</t>
  </si>
  <si>
    <t>Lightforged Draenei</t>
  </si>
  <si>
    <t>Lumenea</t>
  </si>
  <si>
    <t>Mage</t>
  </si>
  <si>
    <t>Ribiet</t>
  </si>
  <si>
    <t>Void Elf</t>
  </si>
  <si>
    <t>Monk</t>
  </si>
  <si>
    <t>Watong</t>
  </si>
  <si>
    <t>Pandaren</t>
  </si>
  <si>
    <t>Demon Hunter</t>
  </si>
  <si>
    <t>Jarleey</t>
  </si>
  <si>
    <t>Death Knight</t>
  </si>
  <si>
    <t>Luniex</t>
  </si>
  <si>
    <t>Human</t>
  </si>
  <si>
    <t>Paladin</t>
  </si>
  <si>
    <t>Riviex</t>
  </si>
  <si>
    <t>Gadeon</t>
  </si>
  <si>
    <t>Rogue</t>
  </si>
  <si>
    <t>Kyriux</t>
  </si>
  <si>
    <t>Void elf</t>
  </si>
  <si>
    <t>Shaman</t>
  </si>
  <si>
    <t>Bolstan</t>
  </si>
  <si>
    <t>Dwarf</t>
  </si>
  <si>
    <t>Warlock</t>
  </si>
  <si>
    <t>Liviex</t>
  </si>
  <si>
    <t>Gnome</t>
  </si>
  <si>
    <t>Druid</t>
  </si>
  <si>
    <t>Liviet</t>
  </si>
  <si>
    <t>Stormrage</t>
  </si>
  <si>
    <t>Rivean</t>
  </si>
  <si>
    <t>Riviet</t>
  </si>
  <si>
    <t>Cerils</t>
  </si>
  <si>
    <t>Huntardini</t>
  </si>
  <si>
    <t>Ribel</t>
  </si>
  <si>
    <t>Ribe</t>
  </si>
  <si>
    <t>Jaarley</t>
  </si>
  <si>
    <t>Rivex</t>
  </si>
  <si>
    <t>Ribet</t>
  </si>
  <si>
    <t>Dark Iron Dwarf</t>
  </si>
  <si>
    <t>Draenei</t>
  </si>
  <si>
    <t>Ragnaros</t>
  </si>
  <si>
    <t>Bigtulaorc</t>
  </si>
  <si>
    <t>Mag'har Orc</t>
  </si>
  <si>
    <t>Horde</t>
  </si>
  <si>
    <t>Kiex</t>
  </si>
  <si>
    <t>Vulpera</t>
  </si>
  <si>
    <t>Kexii</t>
  </si>
  <si>
    <t>Sanpixula</t>
  </si>
  <si>
    <t>Blood Elf</t>
  </si>
  <si>
    <t>Pixularcana</t>
  </si>
  <si>
    <t>Kexxi</t>
  </si>
  <si>
    <t>Kexxia</t>
  </si>
  <si>
    <t>Rivexx</t>
  </si>
  <si>
    <t>Blood elf</t>
  </si>
  <si>
    <t>Diegasox</t>
  </si>
  <si>
    <t>Orc</t>
  </si>
  <si>
    <t>Diegaso</t>
  </si>
  <si>
    <t>Kiexx</t>
  </si>
  <si>
    <t>Pixulatrueno</t>
  </si>
  <si>
    <t>Pixulondrius</t>
  </si>
  <si>
    <t>Bagun</t>
  </si>
  <si>
    <t>Troll</t>
  </si>
  <si>
    <t>Evoker</t>
  </si>
  <si>
    <t>Zitazer</t>
  </si>
  <si>
    <t>Drachtyr</t>
  </si>
  <si>
    <t>Area 52</t>
  </si>
  <si>
    <t>Morguz</t>
  </si>
  <si>
    <t>Kexia</t>
  </si>
  <si>
    <t>Neehra</t>
  </si>
  <si>
    <t>Kisiah</t>
  </si>
  <si>
    <t>Jarley</t>
  </si>
  <si>
    <t>Kiasa</t>
  </si>
  <si>
    <t>Kesiah</t>
  </si>
  <si>
    <t>Hachia</t>
  </si>
  <si>
    <t>Kasiah</t>
  </si>
  <si>
    <t>Highmountain Tauren</t>
  </si>
  <si>
    <t>Ganiuh</t>
  </si>
  <si>
    <t>Sentinels</t>
  </si>
  <si>
    <t>Lokto</t>
  </si>
  <si>
    <t>Earthen Ring</t>
  </si>
  <si>
    <t>Azjol-Nerub</t>
  </si>
  <si>
    <t>Cenarion Circle</t>
  </si>
  <si>
    <t>Illidan</t>
  </si>
  <si>
    <t>huntardini</t>
  </si>
  <si>
    <t>luxmine</t>
  </si>
  <si>
    <t>Kusalani</t>
  </si>
  <si>
    <t>Peili</t>
  </si>
  <si>
    <t>Tigral</t>
  </si>
  <si>
    <t>Kyriiu</t>
  </si>
  <si>
    <t>Phenie</t>
  </si>
  <si>
    <t>riviex</t>
  </si>
  <si>
    <t>liviex</t>
  </si>
  <si>
    <t>Gerat</t>
  </si>
  <si>
    <t>ribiet</t>
  </si>
  <si>
    <t>Total</t>
  </si>
  <si>
    <t>Total restante</t>
  </si>
  <si>
    <t>✅ Lista sin duplicados</t>
  </si>
  <si>
    <t>Anith</t>
  </si>
  <si>
    <t>Comparini</t>
  </si>
  <si>
    <t>Coulei</t>
  </si>
  <si>
    <t>Deliary</t>
  </si>
  <si>
    <t>Elwitcher</t>
  </si>
  <si>
    <t>Felamue</t>
  </si>
  <si>
    <t>Felie</t>
  </si>
  <si>
    <t>Hiacha</t>
  </si>
  <si>
    <t>Hicha</t>
  </si>
  <si>
    <t>Kasiax</t>
  </si>
  <si>
    <t>Kehxi</t>
  </si>
  <si>
    <t>Kesiax</t>
  </si>
  <si>
    <t>Kexxih</t>
  </si>
  <si>
    <t>Maayah</t>
  </si>
  <si>
    <t>Menarn</t>
  </si>
  <si>
    <t>Monriena</t>
  </si>
  <si>
    <t>Tamine</t>
  </si>
  <si>
    <t>Trucie</t>
  </si>
  <si>
    <t>Yreem</t>
  </si>
  <si>
    <t>Rasharulie</t>
  </si>
  <si>
    <t>Enchanting</t>
  </si>
  <si>
    <t>Expansion</t>
  </si>
  <si>
    <t>Lumber Needed</t>
  </si>
  <si>
    <t>Item</t>
  </si>
  <si>
    <t>Lumber name</t>
  </si>
  <si>
    <t>Lumber required</t>
  </si>
  <si>
    <t>Quantity</t>
  </si>
  <si>
    <t>Estimated Sell Price</t>
  </si>
  <si>
    <t>Dornic Fir Lumber</t>
  </si>
  <si>
    <t>TWW</t>
  </si>
  <si>
    <t>Replica Awakening Machine Stasis Pod</t>
  </si>
  <si>
    <t>Dragonpine Lumber</t>
  </si>
  <si>
    <t>DF</t>
  </si>
  <si>
    <t>Dornogal Hanging Sconce</t>
  </si>
  <si>
    <t>Arden Lumber</t>
  </si>
  <si>
    <t>SL</t>
  </si>
  <si>
    <t>Draconic Scribe's Basin</t>
  </si>
  <si>
    <t>Darkpine Lumber</t>
  </si>
  <si>
    <t>BFA</t>
  </si>
  <si>
    <t>Five Flights' Grimoire</t>
  </si>
  <si>
    <t>Shadowmoon Lumber</t>
  </si>
  <si>
    <t>WOD</t>
  </si>
  <si>
    <t>Ardenweald Lamppost</t>
  </si>
  <si>
    <t>Bamboo Lumber</t>
  </si>
  <si>
    <t>MOP</t>
  </si>
  <si>
    <t>Venthyr Anima Bottle</t>
  </si>
  <si>
    <t>Ashwood Lumber</t>
  </si>
  <si>
    <t>CATA</t>
  </si>
  <si>
    <t>Drust Enchanter's Rod</t>
  </si>
  <si>
    <t>Coldwind Lumber</t>
  </si>
  <si>
    <t>WOTLK</t>
  </si>
  <si>
    <t>Tidesage's Totem</t>
  </si>
  <si>
    <t>Olemba Lumber</t>
  </si>
  <si>
    <t>TBC</t>
  </si>
  <si>
    <t>Draenethyst String Lights</t>
  </si>
  <si>
    <t>Ironwood Lumber</t>
  </si>
  <si>
    <t>Classic</t>
  </si>
  <si>
    <t>Intense Mogu Brazier</t>
  </si>
  <si>
    <t>Pandaren Table Lamp</t>
  </si>
  <si>
    <t>Pyrewood Glass Bottle</t>
  </si>
  <si>
    <t>Estimated profit with AH cut</t>
  </si>
  <si>
    <t>Twilight Fire Canister</t>
  </si>
  <si>
    <t>Mark of the Mages' Eye</t>
  </si>
  <si>
    <t>Stampwhistle's Postal Portal</t>
  </si>
  <si>
    <t>Draenei Holo-Dais</t>
  </si>
  <si>
    <t>Draenei Holo-Path</t>
  </si>
  <si>
    <t>Darkmaster's Mystical Brazier</t>
  </si>
  <si>
    <t>Tirisfal Hollow Campfire</t>
  </si>
  <si>
    <t>Best Realm</t>
  </si>
  <si>
    <t>Best Buy Realm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</si>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</sst>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3" borderId="3" xfId="0" applyFill="1" applyBorder="1" applyAlignment="1">
      <alignment horizontal="center" vertical="center"/>
    </xf>
    <xf numFmtId="0" fontId="0" fillId="16" borderId="0" xfId="0" applyFill="1" applyAlignment="1">
      <alignment horizontal="center"/>
    </xf>
    <xf numFmtId="0" fontId="1" fillId="0" borderId="0" xfId="0" applyFont="1"/>
    <xf numFmtId="0" fontId="0" fillId="0" borderId="3" xfId="0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14" borderId="6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0" borderId="5" xfId="0" applyBorder="1"/>
    <xf numFmtId="0" fontId="0" fillId="0" borderId="4" xfId="0" applyBorder="1"/>
    <xf numFmtId="0" fontId="0" fillId="9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Q68"/>
  <sheetViews>
    <sheetView topLeftCell="A10" workbookViewId="0">
      <selection activeCell="I57" sqref="I57"/>
    </sheetView>
  </sheetViews>
  <sheetFormatPr baseColWidth="10" defaultColWidth="9.140625" defaultRowHeight="15" x14ac:dyDescent="0.25"/>
  <cols>
    <col min="3" max="3" width="14" customWidth="1"/>
    <col min="4" max="4" width="15.140625" customWidth="1"/>
    <col min="5" max="5" width="11.5703125" customWidth="1"/>
    <col min="6" max="6" width="19.42578125" customWidth="1"/>
    <col min="8" max="8" width="11.85546875" customWidth="1"/>
    <col min="9" max="9" width="9.5703125" customWidth="1"/>
    <col min="11" max="11" width="18.140625" bestFit="1" customWidth="1"/>
    <col min="12" max="12" width="10" bestFit="1" customWidth="1"/>
    <col min="13" max="13" width="9.5703125" customWidth="1"/>
    <col min="14" max="14" width="9.42578125" customWidth="1"/>
    <col min="15" max="15" width="8.42578125" bestFit="1" customWidth="1"/>
    <col min="16" max="17" width="18.140625" bestFit="1" customWidth="1"/>
    <col min="18" max="18" width="7.85546875" bestFit="1" customWidth="1"/>
    <col min="19" max="19" width="14.42578125" customWidth="1"/>
    <col min="21" max="21" width="13.85546875" bestFit="1" customWidth="1"/>
    <col min="22" max="22" width="12.7109375" bestFit="1" customWidth="1"/>
  </cols>
  <sheetData>
    <row r="3" spans="2:17" ht="24" customHeight="1" x14ac:dyDescent="0.4">
      <c r="B3" s="16" t="s">
        <v>0</v>
      </c>
      <c r="C3" s="16" t="s">
        <v>1</v>
      </c>
      <c r="D3" s="16" t="s">
        <v>2</v>
      </c>
      <c r="E3" s="16" t="s">
        <v>3</v>
      </c>
      <c r="F3" s="16" t="s">
        <v>4</v>
      </c>
      <c r="G3" s="16" t="s">
        <v>5</v>
      </c>
      <c r="H3" s="16" t="s">
        <v>6</v>
      </c>
      <c r="I3" s="16" t="s">
        <v>7</v>
      </c>
      <c r="J3" s="16" t="s">
        <v>8</v>
      </c>
      <c r="Q3" s="32"/>
    </row>
    <row r="4" spans="2:17" x14ac:dyDescent="0.25">
      <c r="B4" s="15">
        <v>1</v>
      </c>
      <c r="C4" s="17" t="s">
        <v>9</v>
      </c>
      <c r="D4" s="15" t="s">
        <v>10</v>
      </c>
      <c r="E4" s="15" t="s">
        <v>11</v>
      </c>
      <c r="F4" s="15" t="s">
        <v>12</v>
      </c>
      <c r="G4" s="15" t="s">
        <v>13</v>
      </c>
      <c r="H4" s="15" t="s">
        <v>14</v>
      </c>
      <c r="I4" s="15">
        <v>80</v>
      </c>
      <c r="J4" s="15">
        <v>600</v>
      </c>
    </row>
    <row r="5" spans="2:17" x14ac:dyDescent="0.25">
      <c r="B5" s="15">
        <v>2</v>
      </c>
      <c r="C5" s="18" t="s">
        <v>15</v>
      </c>
      <c r="D5" s="15" t="s">
        <v>10</v>
      </c>
      <c r="E5" s="15" t="s">
        <v>16</v>
      </c>
      <c r="F5" s="15" t="s">
        <v>17</v>
      </c>
      <c r="G5" s="15" t="s">
        <v>18</v>
      </c>
      <c r="H5" s="15" t="s">
        <v>14</v>
      </c>
      <c r="I5" s="15">
        <v>80</v>
      </c>
      <c r="J5" s="15">
        <v>600</v>
      </c>
    </row>
    <row r="6" spans="2:17" x14ac:dyDescent="0.25">
      <c r="B6" s="15">
        <v>3</v>
      </c>
      <c r="C6" s="19" t="s">
        <v>19</v>
      </c>
      <c r="D6" s="15" t="s">
        <v>10</v>
      </c>
      <c r="E6" s="15" t="s">
        <v>20</v>
      </c>
      <c r="F6" s="15" t="s">
        <v>21</v>
      </c>
      <c r="G6" s="15" t="s">
        <v>18</v>
      </c>
      <c r="H6" s="15" t="s">
        <v>14</v>
      </c>
      <c r="I6" s="15">
        <v>80</v>
      </c>
      <c r="J6" s="15">
        <v>600</v>
      </c>
    </row>
    <row r="7" spans="2:17" x14ac:dyDescent="0.25">
      <c r="B7" s="15">
        <v>4</v>
      </c>
      <c r="C7" s="19" t="s">
        <v>19</v>
      </c>
      <c r="D7" s="15" t="s">
        <v>10</v>
      </c>
      <c r="E7" s="15" t="s">
        <v>22</v>
      </c>
      <c r="F7" s="15" t="s">
        <v>21</v>
      </c>
      <c r="G7" s="15" t="s">
        <v>18</v>
      </c>
      <c r="H7" s="15" t="s">
        <v>14</v>
      </c>
      <c r="I7" s="15">
        <v>50</v>
      </c>
      <c r="J7" s="15">
        <v>600</v>
      </c>
    </row>
    <row r="8" spans="2:17" x14ac:dyDescent="0.25">
      <c r="B8" s="15">
        <v>5</v>
      </c>
      <c r="C8" s="20" t="s">
        <v>23</v>
      </c>
      <c r="D8" s="15" t="s">
        <v>10</v>
      </c>
      <c r="E8" s="15" t="s">
        <v>24</v>
      </c>
      <c r="F8" s="15" t="s">
        <v>25</v>
      </c>
      <c r="G8" s="15" t="s">
        <v>18</v>
      </c>
      <c r="H8" s="15" t="s">
        <v>14</v>
      </c>
      <c r="I8" s="15">
        <v>80</v>
      </c>
      <c r="J8" s="15">
        <v>600</v>
      </c>
    </row>
    <row r="9" spans="2:17" x14ac:dyDescent="0.25">
      <c r="B9" s="15">
        <v>6</v>
      </c>
      <c r="C9" s="21" t="s">
        <v>26</v>
      </c>
      <c r="D9" s="15" t="s">
        <v>10</v>
      </c>
      <c r="E9" s="15" t="s">
        <v>27</v>
      </c>
      <c r="F9" s="15" t="s">
        <v>28</v>
      </c>
      <c r="G9" s="15" t="s">
        <v>13</v>
      </c>
      <c r="H9" s="15" t="s">
        <v>14</v>
      </c>
      <c r="I9" s="15">
        <v>80</v>
      </c>
      <c r="J9" s="15">
        <v>600</v>
      </c>
    </row>
    <row r="10" spans="2:17" x14ac:dyDescent="0.25">
      <c r="B10" s="15">
        <v>7</v>
      </c>
      <c r="C10" s="22" t="s">
        <v>29</v>
      </c>
      <c r="D10" s="15" t="s">
        <v>10</v>
      </c>
      <c r="E10" s="15" t="s">
        <v>30</v>
      </c>
      <c r="F10" s="15" t="s">
        <v>17</v>
      </c>
      <c r="G10" s="15" t="s">
        <v>18</v>
      </c>
      <c r="H10" s="15" t="s">
        <v>14</v>
      </c>
      <c r="I10" s="15">
        <v>80</v>
      </c>
      <c r="J10" s="15">
        <v>600</v>
      </c>
    </row>
    <row r="11" spans="2:17" x14ac:dyDescent="0.25">
      <c r="B11" s="15">
        <v>8</v>
      </c>
      <c r="C11" s="23" t="s">
        <v>31</v>
      </c>
      <c r="D11" s="15" t="s">
        <v>10</v>
      </c>
      <c r="E11" s="15" t="s">
        <v>32</v>
      </c>
      <c r="F11" s="15" t="s">
        <v>33</v>
      </c>
      <c r="G11" s="15" t="s">
        <v>18</v>
      </c>
      <c r="H11" s="15" t="s">
        <v>14</v>
      </c>
      <c r="I11" s="15">
        <v>80</v>
      </c>
      <c r="J11" s="15">
        <v>600</v>
      </c>
    </row>
    <row r="12" spans="2:17" x14ac:dyDescent="0.25">
      <c r="B12" s="15">
        <v>9</v>
      </c>
      <c r="C12" s="24" t="s">
        <v>34</v>
      </c>
      <c r="D12" s="15" t="s">
        <v>10</v>
      </c>
      <c r="E12" s="15" t="s">
        <v>35</v>
      </c>
      <c r="F12" s="15" t="s">
        <v>21</v>
      </c>
      <c r="G12" s="15" t="s">
        <v>18</v>
      </c>
      <c r="H12" s="15" t="s">
        <v>14</v>
      </c>
      <c r="I12" s="15">
        <v>80</v>
      </c>
      <c r="J12" s="15">
        <v>600</v>
      </c>
    </row>
    <row r="13" spans="2:17" x14ac:dyDescent="0.25">
      <c r="B13" s="15">
        <v>10</v>
      </c>
      <c r="C13" s="24" t="s">
        <v>34</v>
      </c>
      <c r="D13" s="15" t="s">
        <v>10</v>
      </c>
      <c r="E13" s="15" t="s">
        <v>36</v>
      </c>
      <c r="F13" s="15" t="s">
        <v>33</v>
      </c>
      <c r="G13" s="15" t="s">
        <v>13</v>
      </c>
      <c r="H13" s="15" t="s">
        <v>14</v>
      </c>
      <c r="I13" s="15">
        <v>70</v>
      </c>
      <c r="J13" s="15">
        <v>600</v>
      </c>
    </row>
    <row r="14" spans="2:17" x14ac:dyDescent="0.25">
      <c r="B14" s="15">
        <v>11</v>
      </c>
      <c r="C14" s="25" t="s">
        <v>37</v>
      </c>
      <c r="D14" s="15" t="s">
        <v>10</v>
      </c>
      <c r="E14" s="15" t="s">
        <v>38</v>
      </c>
      <c r="F14" s="15" t="s">
        <v>39</v>
      </c>
      <c r="G14" s="15" t="s">
        <v>13</v>
      </c>
      <c r="H14" s="15" t="s">
        <v>14</v>
      </c>
      <c r="I14" s="15">
        <v>80</v>
      </c>
      <c r="J14" s="15">
        <v>600</v>
      </c>
    </row>
    <row r="15" spans="2:17" x14ac:dyDescent="0.25">
      <c r="B15" s="15">
        <v>12</v>
      </c>
      <c r="C15" s="26" t="s">
        <v>40</v>
      </c>
      <c r="D15" s="15" t="s">
        <v>10</v>
      </c>
      <c r="E15" s="15" t="s">
        <v>41</v>
      </c>
      <c r="F15" s="15" t="s">
        <v>42</v>
      </c>
      <c r="G15" s="15" t="s">
        <v>13</v>
      </c>
      <c r="H15" s="15" t="s">
        <v>14</v>
      </c>
      <c r="I15" s="15">
        <v>80</v>
      </c>
      <c r="J15" s="15">
        <v>600</v>
      </c>
    </row>
    <row r="16" spans="2:17" x14ac:dyDescent="0.25">
      <c r="B16" s="15">
        <v>13</v>
      </c>
      <c r="C16" s="27" t="s">
        <v>43</v>
      </c>
      <c r="D16" s="15" t="s">
        <v>10</v>
      </c>
      <c r="E16" s="15" t="s">
        <v>44</v>
      </c>
      <c r="F16" s="15" t="s">
        <v>45</v>
      </c>
      <c r="G16" s="15" t="s">
        <v>18</v>
      </c>
      <c r="H16" s="15" t="s">
        <v>14</v>
      </c>
      <c r="I16" s="15">
        <v>80</v>
      </c>
      <c r="J16" s="15">
        <v>600</v>
      </c>
    </row>
    <row r="17" spans="2:10" x14ac:dyDescent="0.25">
      <c r="B17" s="15">
        <v>14</v>
      </c>
      <c r="C17" s="28" t="s">
        <v>46</v>
      </c>
      <c r="D17" s="15" t="s">
        <v>10</v>
      </c>
      <c r="E17" s="15" t="s">
        <v>47</v>
      </c>
      <c r="F17" s="15" t="s">
        <v>17</v>
      </c>
      <c r="G17" s="15" t="s">
        <v>18</v>
      </c>
      <c r="H17" s="15" t="s">
        <v>14</v>
      </c>
      <c r="I17" s="15">
        <v>80</v>
      </c>
      <c r="J17" s="15">
        <v>600</v>
      </c>
    </row>
    <row r="18" spans="2:10" x14ac:dyDescent="0.25">
      <c r="B18" s="15">
        <v>15</v>
      </c>
      <c r="C18" s="17" t="s">
        <v>9</v>
      </c>
      <c r="D18" s="15" t="s">
        <v>48</v>
      </c>
      <c r="E18" s="15" t="s">
        <v>49</v>
      </c>
      <c r="F18" s="15" t="s">
        <v>12</v>
      </c>
      <c r="G18" s="15" t="s">
        <v>13</v>
      </c>
      <c r="H18" s="15" t="s">
        <v>14</v>
      </c>
      <c r="I18" s="15">
        <v>80</v>
      </c>
      <c r="J18" s="15">
        <v>600</v>
      </c>
    </row>
    <row r="19" spans="2:10" x14ac:dyDescent="0.25">
      <c r="B19" s="15">
        <v>16</v>
      </c>
      <c r="C19" s="17" t="s">
        <v>9</v>
      </c>
      <c r="D19" s="15" t="s">
        <v>48</v>
      </c>
      <c r="E19" s="15" t="s">
        <v>50</v>
      </c>
      <c r="F19" s="15" t="s">
        <v>42</v>
      </c>
      <c r="G19" s="15" t="s">
        <v>13</v>
      </c>
      <c r="H19" s="15" t="s">
        <v>14</v>
      </c>
      <c r="I19" s="15">
        <v>80</v>
      </c>
      <c r="J19" s="15">
        <v>600</v>
      </c>
    </row>
    <row r="20" spans="2:10" x14ac:dyDescent="0.25">
      <c r="B20" s="15">
        <v>17</v>
      </c>
      <c r="C20" s="17" t="s">
        <v>9</v>
      </c>
      <c r="D20" s="15" t="s">
        <v>48</v>
      </c>
      <c r="E20" s="15" t="s">
        <v>51</v>
      </c>
      <c r="F20" s="15" t="s">
        <v>33</v>
      </c>
      <c r="G20" s="15" t="s">
        <v>18</v>
      </c>
      <c r="H20" s="15" t="s">
        <v>14</v>
      </c>
      <c r="I20" s="15">
        <v>79</v>
      </c>
      <c r="J20" s="15">
        <v>600</v>
      </c>
    </row>
    <row r="21" spans="2:10" x14ac:dyDescent="0.25">
      <c r="B21" s="15">
        <v>18</v>
      </c>
      <c r="C21" s="18" t="s">
        <v>15</v>
      </c>
      <c r="D21" s="15" t="s">
        <v>48</v>
      </c>
      <c r="E21" s="15" t="s">
        <v>52</v>
      </c>
      <c r="F21" s="15" t="s">
        <v>12</v>
      </c>
      <c r="G21" s="15" t="s">
        <v>13</v>
      </c>
      <c r="H21" s="15" t="s">
        <v>14</v>
      </c>
      <c r="I21" s="15">
        <v>80</v>
      </c>
      <c r="J21" s="15">
        <v>600</v>
      </c>
    </row>
    <row r="22" spans="2:10" x14ac:dyDescent="0.25">
      <c r="B22" s="15">
        <v>19</v>
      </c>
      <c r="C22" s="19" t="s">
        <v>19</v>
      </c>
      <c r="D22" s="15" t="s">
        <v>48</v>
      </c>
      <c r="E22" s="15" t="s">
        <v>20</v>
      </c>
      <c r="F22" s="15" t="s">
        <v>21</v>
      </c>
      <c r="G22" s="15" t="s">
        <v>18</v>
      </c>
      <c r="H22" s="15" t="s">
        <v>14</v>
      </c>
      <c r="I22" s="15">
        <v>80</v>
      </c>
      <c r="J22" s="15">
        <v>600</v>
      </c>
    </row>
    <row r="23" spans="2:10" x14ac:dyDescent="0.25">
      <c r="B23" s="15">
        <v>20</v>
      </c>
      <c r="C23" s="20" t="s">
        <v>23</v>
      </c>
      <c r="D23" s="15" t="s">
        <v>48</v>
      </c>
      <c r="E23" s="15" t="s">
        <v>53</v>
      </c>
      <c r="F23" s="15" t="s">
        <v>33</v>
      </c>
      <c r="G23" s="15" t="s">
        <v>18</v>
      </c>
      <c r="H23" s="15" t="s">
        <v>14</v>
      </c>
      <c r="I23" s="15">
        <v>80</v>
      </c>
      <c r="J23" s="15">
        <v>600</v>
      </c>
    </row>
    <row r="24" spans="2:10" x14ac:dyDescent="0.25">
      <c r="B24" s="15">
        <v>21</v>
      </c>
      <c r="C24" s="21" t="s">
        <v>26</v>
      </c>
      <c r="D24" s="15" t="s">
        <v>48</v>
      </c>
      <c r="E24" s="15" t="s">
        <v>54</v>
      </c>
      <c r="F24" s="15" t="s">
        <v>28</v>
      </c>
      <c r="G24" s="15" t="s">
        <v>13</v>
      </c>
      <c r="H24" s="15" t="s">
        <v>14</v>
      </c>
      <c r="I24" s="15">
        <v>80</v>
      </c>
      <c r="J24" s="15">
        <v>600</v>
      </c>
    </row>
    <row r="25" spans="2:10" x14ac:dyDescent="0.25">
      <c r="B25" s="15">
        <v>22</v>
      </c>
      <c r="C25" s="22" t="s">
        <v>29</v>
      </c>
      <c r="D25" s="15" t="s">
        <v>48</v>
      </c>
      <c r="E25" s="15" t="s">
        <v>55</v>
      </c>
      <c r="F25" s="15" t="s">
        <v>17</v>
      </c>
      <c r="G25" s="15" t="s">
        <v>18</v>
      </c>
      <c r="H25" s="15" t="s">
        <v>14</v>
      </c>
      <c r="I25" s="15">
        <v>80</v>
      </c>
      <c r="J25" s="15">
        <v>600</v>
      </c>
    </row>
    <row r="26" spans="2:10" x14ac:dyDescent="0.25">
      <c r="B26" s="15">
        <v>23</v>
      </c>
      <c r="C26" s="22" t="s">
        <v>29</v>
      </c>
      <c r="D26" s="15" t="s">
        <v>48</v>
      </c>
      <c r="E26" s="15" t="s">
        <v>30</v>
      </c>
      <c r="F26" s="15" t="s">
        <v>17</v>
      </c>
      <c r="G26" s="15" t="s">
        <v>18</v>
      </c>
      <c r="H26" s="15" t="s">
        <v>14</v>
      </c>
      <c r="I26" s="15">
        <v>53</v>
      </c>
      <c r="J26" s="15">
        <v>600</v>
      </c>
    </row>
    <row r="27" spans="2:10" x14ac:dyDescent="0.25">
      <c r="B27" s="15">
        <v>24</v>
      </c>
      <c r="C27" s="23" t="s">
        <v>31</v>
      </c>
      <c r="D27" s="15" t="s">
        <v>48</v>
      </c>
      <c r="E27" s="15" t="s">
        <v>32</v>
      </c>
      <c r="F27" s="15" t="s">
        <v>21</v>
      </c>
      <c r="G27" s="15" t="s">
        <v>18</v>
      </c>
      <c r="H27" s="15" t="s">
        <v>14</v>
      </c>
      <c r="I27" s="15">
        <v>80</v>
      </c>
      <c r="J27" s="15">
        <v>600</v>
      </c>
    </row>
    <row r="28" spans="2:10" x14ac:dyDescent="0.25">
      <c r="B28" s="15">
        <v>25</v>
      </c>
      <c r="C28" s="24" t="s">
        <v>34</v>
      </c>
      <c r="D28" s="15" t="s">
        <v>48</v>
      </c>
      <c r="E28" s="15" t="s">
        <v>56</v>
      </c>
      <c r="F28" s="15" t="s">
        <v>33</v>
      </c>
      <c r="G28" s="15" t="s">
        <v>18</v>
      </c>
      <c r="H28" s="15" t="s">
        <v>14</v>
      </c>
      <c r="I28" s="15">
        <v>80</v>
      </c>
      <c r="J28" s="15">
        <v>600</v>
      </c>
    </row>
    <row r="29" spans="2:10" x14ac:dyDescent="0.25">
      <c r="B29" s="15">
        <v>26</v>
      </c>
      <c r="C29" s="25" t="s">
        <v>37</v>
      </c>
      <c r="D29" s="15" t="s">
        <v>48</v>
      </c>
      <c r="E29" s="15" t="s">
        <v>57</v>
      </c>
      <c r="F29" s="15" t="s">
        <v>33</v>
      </c>
      <c r="G29" s="15" t="s">
        <v>18</v>
      </c>
      <c r="H29" s="15" t="s">
        <v>14</v>
      </c>
      <c r="I29" s="15">
        <v>80</v>
      </c>
      <c r="J29" s="15">
        <v>600</v>
      </c>
    </row>
    <row r="30" spans="2:10" x14ac:dyDescent="0.25">
      <c r="B30" s="15">
        <v>27</v>
      </c>
      <c r="C30" s="26" t="s">
        <v>40</v>
      </c>
      <c r="D30" s="15" t="s">
        <v>48</v>
      </c>
      <c r="E30" s="15" t="s">
        <v>41</v>
      </c>
      <c r="F30" s="15" t="s">
        <v>58</v>
      </c>
      <c r="G30" s="15" t="s">
        <v>13</v>
      </c>
      <c r="H30" s="15" t="s">
        <v>14</v>
      </c>
      <c r="I30" s="15">
        <v>80</v>
      </c>
      <c r="J30" s="15">
        <v>600</v>
      </c>
    </row>
    <row r="31" spans="2:10" x14ac:dyDescent="0.25">
      <c r="B31" s="15">
        <v>28</v>
      </c>
      <c r="C31" s="27" t="s">
        <v>43</v>
      </c>
      <c r="D31" s="15" t="s">
        <v>48</v>
      </c>
      <c r="E31" s="15" t="s">
        <v>35</v>
      </c>
      <c r="F31" s="15" t="s">
        <v>59</v>
      </c>
      <c r="G31" s="15" t="s">
        <v>18</v>
      </c>
      <c r="H31" s="15" t="s">
        <v>14</v>
      </c>
      <c r="I31" s="15">
        <v>80</v>
      </c>
      <c r="J31" s="15">
        <v>600</v>
      </c>
    </row>
    <row r="32" spans="2:10" x14ac:dyDescent="0.25">
      <c r="B32" s="15">
        <v>29</v>
      </c>
      <c r="C32" s="28" t="s">
        <v>46</v>
      </c>
      <c r="D32" s="15" t="s">
        <v>48</v>
      </c>
      <c r="E32" s="15" t="s">
        <v>24</v>
      </c>
      <c r="F32" s="15" t="s">
        <v>17</v>
      </c>
      <c r="G32" s="15" t="s">
        <v>18</v>
      </c>
      <c r="H32" s="15" t="s">
        <v>14</v>
      </c>
      <c r="I32" s="15">
        <v>80</v>
      </c>
      <c r="J32" s="15">
        <v>600</v>
      </c>
    </row>
    <row r="33" spans="2:10" x14ac:dyDescent="0.25">
      <c r="B33" s="15">
        <v>30</v>
      </c>
      <c r="C33" s="14" t="s">
        <v>9</v>
      </c>
      <c r="D33" s="15" t="s">
        <v>60</v>
      </c>
      <c r="E33" s="15" t="s">
        <v>61</v>
      </c>
      <c r="F33" s="15" t="s">
        <v>62</v>
      </c>
      <c r="G33" s="15" t="s">
        <v>13</v>
      </c>
      <c r="H33" s="15" t="s">
        <v>63</v>
      </c>
      <c r="I33" s="15">
        <v>80</v>
      </c>
      <c r="J33" s="15">
        <v>600</v>
      </c>
    </row>
    <row r="34" spans="2:10" x14ac:dyDescent="0.25">
      <c r="B34" s="15">
        <v>31</v>
      </c>
      <c r="C34" s="14" t="s">
        <v>9</v>
      </c>
      <c r="D34" s="15" t="s">
        <v>60</v>
      </c>
      <c r="E34" s="15" t="s">
        <v>64</v>
      </c>
      <c r="F34" s="15" t="s">
        <v>65</v>
      </c>
      <c r="G34" s="15" t="s">
        <v>18</v>
      </c>
      <c r="H34" s="15" t="s">
        <v>63</v>
      </c>
      <c r="I34" s="15">
        <v>80</v>
      </c>
      <c r="J34" s="15">
        <v>600</v>
      </c>
    </row>
    <row r="35" spans="2:10" x14ac:dyDescent="0.25">
      <c r="B35" s="15">
        <v>32</v>
      </c>
      <c r="C35" s="4" t="s">
        <v>15</v>
      </c>
      <c r="D35" s="15" t="s">
        <v>60</v>
      </c>
      <c r="E35" s="15" t="s">
        <v>66</v>
      </c>
      <c r="F35" s="15" t="s">
        <v>65</v>
      </c>
      <c r="G35" s="15" t="s">
        <v>18</v>
      </c>
      <c r="H35" s="15" t="s">
        <v>63</v>
      </c>
      <c r="I35" s="15">
        <v>80</v>
      </c>
      <c r="J35" s="15">
        <v>600</v>
      </c>
    </row>
    <row r="36" spans="2:10" x14ac:dyDescent="0.25">
      <c r="B36" s="15">
        <v>33</v>
      </c>
      <c r="C36" s="5" t="s">
        <v>19</v>
      </c>
      <c r="D36" s="15" t="s">
        <v>60</v>
      </c>
      <c r="E36" s="15" t="s">
        <v>67</v>
      </c>
      <c r="F36" s="15" t="s">
        <v>68</v>
      </c>
      <c r="G36" s="15" t="s">
        <v>18</v>
      </c>
      <c r="H36" s="15" t="s">
        <v>63</v>
      </c>
      <c r="I36" s="15">
        <v>80</v>
      </c>
      <c r="J36" s="15">
        <v>600</v>
      </c>
    </row>
    <row r="37" spans="2:10" x14ac:dyDescent="0.25">
      <c r="B37" s="15">
        <v>34</v>
      </c>
      <c r="C37" s="6" t="s">
        <v>23</v>
      </c>
      <c r="D37" s="15" t="s">
        <v>60</v>
      </c>
      <c r="E37" s="15" t="s">
        <v>69</v>
      </c>
      <c r="F37" s="15" t="s">
        <v>68</v>
      </c>
      <c r="G37" s="15" t="s">
        <v>18</v>
      </c>
      <c r="H37" s="15" t="s">
        <v>63</v>
      </c>
      <c r="I37" s="15">
        <v>80</v>
      </c>
      <c r="J37" s="15">
        <v>600</v>
      </c>
    </row>
    <row r="38" spans="2:10" x14ac:dyDescent="0.25">
      <c r="B38" s="15">
        <v>35</v>
      </c>
      <c r="C38" s="6" t="s">
        <v>23</v>
      </c>
      <c r="D38" s="15" t="s">
        <v>60</v>
      </c>
      <c r="E38" s="15" t="s">
        <v>70</v>
      </c>
      <c r="F38" s="15" t="s">
        <v>65</v>
      </c>
      <c r="G38" s="15" t="s">
        <v>18</v>
      </c>
      <c r="H38" s="15" t="s">
        <v>63</v>
      </c>
      <c r="I38" s="15">
        <v>80</v>
      </c>
      <c r="J38" s="15">
        <v>600</v>
      </c>
    </row>
    <row r="39" spans="2:10" x14ac:dyDescent="0.25">
      <c r="B39" s="15">
        <v>36</v>
      </c>
      <c r="C39" s="7" t="s">
        <v>26</v>
      </c>
      <c r="D39" s="15" t="s">
        <v>60</v>
      </c>
      <c r="E39" s="15" t="s">
        <v>71</v>
      </c>
      <c r="F39" s="15" t="s">
        <v>65</v>
      </c>
      <c r="G39" s="15" t="s">
        <v>18</v>
      </c>
      <c r="H39" s="15" t="s">
        <v>63</v>
      </c>
      <c r="I39" s="15">
        <v>80</v>
      </c>
      <c r="J39" s="15">
        <v>600</v>
      </c>
    </row>
    <row r="40" spans="2:10" x14ac:dyDescent="0.25">
      <c r="B40" s="15">
        <v>37</v>
      </c>
      <c r="C40" s="7" t="s">
        <v>26</v>
      </c>
      <c r="D40" s="15" t="s">
        <v>60</v>
      </c>
      <c r="E40" s="15" t="s">
        <v>72</v>
      </c>
      <c r="F40" s="15" t="s">
        <v>65</v>
      </c>
      <c r="G40" s="15" t="s">
        <v>18</v>
      </c>
      <c r="H40" s="15" t="s">
        <v>63</v>
      </c>
      <c r="I40" s="15">
        <v>80</v>
      </c>
      <c r="J40" s="15">
        <v>600</v>
      </c>
    </row>
    <row r="41" spans="2:10" x14ac:dyDescent="0.25">
      <c r="B41" s="15">
        <v>38</v>
      </c>
      <c r="C41" s="8" t="s">
        <v>29</v>
      </c>
      <c r="D41" s="15" t="s">
        <v>60</v>
      </c>
      <c r="E41" s="15" t="s">
        <v>50</v>
      </c>
      <c r="F41" s="15" t="s">
        <v>68</v>
      </c>
      <c r="G41" s="15" t="s">
        <v>18</v>
      </c>
      <c r="H41" s="15" t="s">
        <v>63</v>
      </c>
      <c r="I41" s="15">
        <v>80</v>
      </c>
      <c r="J41" s="15">
        <v>600</v>
      </c>
    </row>
    <row r="42" spans="2:10" x14ac:dyDescent="0.25">
      <c r="B42" s="15">
        <v>39</v>
      </c>
      <c r="C42" s="8" t="s">
        <v>29</v>
      </c>
      <c r="D42" s="15" t="s">
        <v>60</v>
      </c>
      <c r="E42" s="15" t="s">
        <v>30</v>
      </c>
      <c r="F42" s="15" t="s">
        <v>73</v>
      </c>
      <c r="G42" s="15" t="s">
        <v>18</v>
      </c>
      <c r="H42" s="15" t="s">
        <v>63</v>
      </c>
      <c r="I42" s="15">
        <v>80</v>
      </c>
      <c r="J42" s="15">
        <v>600</v>
      </c>
    </row>
    <row r="43" spans="2:10" x14ac:dyDescent="0.25">
      <c r="B43" s="15">
        <v>40</v>
      </c>
      <c r="C43" s="9" t="s">
        <v>31</v>
      </c>
      <c r="D43" s="15" t="s">
        <v>60</v>
      </c>
      <c r="E43" s="15" t="s">
        <v>74</v>
      </c>
      <c r="F43" s="15" t="s">
        <v>75</v>
      </c>
      <c r="G43" s="15" t="s">
        <v>13</v>
      </c>
      <c r="H43" s="15" t="s">
        <v>63</v>
      </c>
      <c r="I43" s="15">
        <v>80</v>
      </c>
      <c r="J43" s="15">
        <v>600</v>
      </c>
    </row>
    <row r="44" spans="2:10" x14ac:dyDescent="0.25">
      <c r="B44" s="15">
        <v>41</v>
      </c>
      <c r="C44" s="36" t="s">
        <v>34</v>
      </c>
      <c r="D44" s="15" t="s">
        <v>60</v>
      </c>
      <c r="E44" s="15" t="s">
        <v>76</v>
      </c>
      <c r="F44" s="15" t="s">
        <v>68</v>
      </c>
      <c r="G44" s="15" t="s">
        <v>13</v>
      </c>
      <c r="H44" s="15" t="s">
        <v>63</v>
      </c>
      <c r="I44" s="15">
        <v>80</v>
      </c>
      <c r="J44" s="15">
        <v>600</v>
      </c>
    </row>
    <row r="45" spans="2:10" x14ac:dyDescent="0.25">
      <c r="B45" s="15">
        <v>42</v>
      </c>
      <c r="C45" s="10" t="s">
        <v>37</v>
      </c>
      <c r="D45" s="15" t="s">
        <v>60</v>
      </c>
      <c r="E45" s="15" t="s">
        <v>77</v>
      </c>
      <c r="F45" s="15" t="s">
        <v>65</v>
      </c>
      <c r="G45" s="15" t="s">
        <v>18</v>
      </c>
      <c r="H45" s="15" t="s">
        <v>63</v>
      </c>
      <c r="I45" s="15">
        <v>80</v>
      </c>
      <c r="J45" s="15">
        <v>600</v>
      </c>
    </row>
    <row r="46" spans="2:10" x14ac:dyDescent="0.25">
      <c r="B46" s="15">
        <v>43</v>
      </c>
      <c r="C46" s="11" t="s">
        <v>40</v>
      </c>
      <c r="D46" s="15" t="s">
        <v>60</v>
      </c>
      <c r="E46" s="15" t="s">
        <v>78</v>
      </c>
      <c r="F46" s="15" t="s">
        <v>75</v>
      </c>
      <c r="G46" s="15" t="s">
        <v>13</v>
      </c>
      <c r="H46" s="15" t="s">
        <v>63</v>
      </c>
      <c r="I46" s="15">
        <v>80</v>
      </c>
      <c r="J46" s="15">
        <v>600</v>
      </c>
    </row>
    <row r="47" spans="2:10" x14ac:dyDescent="0.25">
      <c r="B47" s="15">
        <v>44</v>
      </c>
      <c r="C47" s="12" t="s">
        <v>43</v>
      </c>
      <c r="D47" s="15" t="s">
        <v>60</v>
      </c>
      <c r="E47" s="15" t="s">
        <v>79</v>
      </c>
      <c r="F47" s="15" t="s">
        <v>75</v>
      </c>
      <c r="G47" s="15" t="s">
        <v>13</v>
      </c>
      <c r="H47" s="15" t="s">
        <v>63</v>
      </c>
      <c r="I47" s="15">
        <v>80</v>
      </c>
      <c r="J47" s="15">
        <v>600</v>
      </c>
    </row>
    <row r="48" spans="2:10" x14ac:dyDescent="0.25">
      <c r="B48" s="15">
        <v>45</v>
      </c>
      <c r="C48" s="13" t="s">
        <v>46</v>
      </c>
      <c r="D48" s="15" t="s">
        <v>60</v>
      </c>
      <c r="E48" s="15" t="s">
        <v>80</v>
      </c>
      <c r="F48" s="15" t="s">
        <v>81</v>
      </c>
      <c r="G48" s="15" t="s">
        <v>13</v>
      </c>
      <c r="H48" s="15" t="s">
        <v>63</v>
      </c>
      <c r="I48" s="15">
        <v>80</v>
      </c>
      <c r="J48" s="15">
        <v>600</v>
      </c>
    </row>
    <row r="49" spans="2:10" x14ac:dyDescent="0.25">
      <c r="B49" s="15">
        <v>46</v>
      </c>
      <c r="C49" s="31" t="s">
        <v>82</v>
      </c>
      <c r="D49" s="15" t="s">
        <v>60</v>
      </c>
      <c r="E49" s="15" t="s">
        <v>83</v>
      </c>
      <c r="F49" s="15" t="s">
        <v>84</v>
      </c>
      <c r="G49" s="15" t="s">
        <v>18</v>
      </c>
      <c r="H49" s="15" t="s">
        <v>63</v>
      </c>
      <c r="I49" s="15">
        <v>80</v>
      </c>
      <c r="J49" s="15">
        <v>600</v>
      </c>
    </row>
    <row r="50" spans="2:10" x14ac:dyDescent="0.25">
      <c r="B50" s="15">
        <v>47</v>
      </c>
      <c r="C50" s="14" t="s">
        <v>9</v>
      </c>
      <c r="D50" s="15" t="s">
        <v>85</v>
      </c>
      <c r="E50" s="15" t="s">
        <v>86</v>
      </c>
      <c r="F50" s="15" t="s">
        <v>62</v>
      </c>
      <c r="G50" s="15" t="s">
        <v>13</v>
      </c>
      <c r="H50" s="15" t="s">
        <v>63</v>
      </c>
      <c r="I50" s="15">
        <v>80</v>
      </c>
      <c r="J50" s="15">
        <v>600</v>
      </c>
    </row>
    <row r="51" spans="2:10" x14ac:dyDescent="0.25">
      <c r="B51" s="15">
        <v>48</v>
      </c>
      <c r="C51" s="4" t="s">
        <v>15</v>
      </c>
      <c r="D51" s="15" t="s">
        <v>85</v>
      </c>
      <c r="E51" s="15" t="s">
        <v>87</v>
      </c>
      <c r="F51" s="15" t="s">
        <v>65</v>
      </c>
      <c r="G51" s="15" t="s">
        <v>18</v>
      </c>
      <c r="H51" s="15" t="s">
        <v>63</v>
      </c>
      <c r="I51" s="15">
        <v>80</v>
      </c>
      <c r="J51" s="15">
        <v>600</v>
      </c>
    </row>
    <row r="52" spans="2:10" x14ac:dyDescent="0.25">
      <c r="B52" s="15">
        <v>49</v>
      </c>
      <c r="C52" s="5" t="s">
        <v>19</v>
      </c>
      <c r="D52" s="15" t="s">
        <v>85</v>
      </c>
      <c r="E52" s="15" t="s">
        <v>70</v>
      </c>
      <c r="F52" s="15" t="s">
        <v>65</v>
      </c>
      <c r="G52" s="15" t="s">
        <v>18</v>
      </c>
      <c r="H52" s="15" t="s">
        <v>63</v>
      </c>
      <c r="I52" s="15">
        <v>80</v>
      </c>
      <c r="J52" s="15">
        <v>600</v>
      </c>
    </row>
    <row r="53" spans="2:10" x14ac:dyDescent="0.25">
      <c r="B53" s="15">
        <v>50</v>
      </c>
      <c r="C53" s="6" t="s">
        <v>23</v>
      </c>
      <c r="D53" s="15" t="s">
        <v>85</v>
      </c>
      <c r="E53" s="15" t="s">
        <v>50</v>
      </c>
      <c r="F53" s="15" t="s">
        <v>75</v>
      </c>
      <c r="G53" s="15" t="s">
        <v>18</v>
      </c>
      <c r="H53" s="15" t="s">
        <v>63</v>
      </c>
      <c r="I53" s="15">
        <v>80</v>
      </c>
      <c r="J53" s="15">
        <v>600</v>
      </c>
    </row>
    <row r="54" spans="2:10" x14ac:dyDescent="0.25">
      <c r="B54" s="15">
        <v>51</v>
      </c>
      <c r="C54" s="6" t="s">
        <v>23</v>
      </c>
      <c r="D54" s="15" t="s">
        <v>85</v>
      </c>
      <c r="E54" s="15" t="s">
        <v>88</v>
      </c>
      <c r="F54" s="15" t="s">
        <v>65</v>
      </c>
      <c r="G54" s="15" t="s">
        <v>18</v>
      </c>
      <c r="H54" s="15" t="s">
        <v>63</v>
      </c>
      <c r="I54" s="15">
        <v>80</v>
      </c>
      <c r="J54" s="15">
        <v>600</v>
      </c>
    </row>
    <row r="55" spans="2:10" x14ac:dyDescent="0.25">
      <c r="B55" s="15">
        <v>52</v>
      </c>
      <c r="C55" s="7" t="s">
        <v>26</v>
      </c>
      <c r="D55" s="15" t="s">
        <v>85</v>
      </c>
      <c r="E55" s="15" t="s">
        <v>89</v>
      </c>
      <c r="F55" s="15" t="s">
        <v>65</v>
      </c>
      <c r="G55" s="15" t="s">
        <v>18</v>
      </c>
      <c r="H55" s="15" t="s">
        <v>63</v>
      </c>
      <c r="I55" s="15">
        <v>80</v>
      </c>
      <c r="J55" s="15">
        <v>600</v>
      </c>
    </row>
    <row r="56" spans="2:10" x14ac:dyDescent="0.25">
      <c r="B56" s="15">
        <v>53</v>
      </c>
      <c r="C56" s="8" t="s">
        <v>29</v>
      </c>
      <c r="D56" s="15" t="s">
        <v>85</v>
      </c>
      <c r="E56" s="15" t="s">
        <v>90</v>
      </c>
      <c r="F56" s="15" t="s">
        <v>68</v>
      </c>
      <c r="G56" s="15" t="s">
        <v>18</v>
      </c>
      <c r="H56" s="15" t="s">
        <v>63</v>
      </c>
      <c r="I56" s="15">
        <v>80</v>
      </c>
      <c r="J56" s="15">
        <v>600</v>
      </c>
    </row>
    <row r="57" spans="2:10" x14ac:dyDescent="0.25">
      <c r="B57" s="15">
        <v>54</v>
      </c>
      <c r="C57" s="9" t="s">
        <v>31</v>
      </c>
      <c r="D57" s="15" t="s">
        <v>85</v>
      </c>
      <c r="E57" s="15" t="s">
        <v>91</v>
      </c>
      <c r="F57" s="15" t="s">
        <v>65</v>
      </c>
      <c r="G57" s="15" t="s">
        <v>18</v>
      </c>
      <c r="H57" s="15" t="s">
        <v>63</v>
      </c>
      <c r="I57" s="15">
        <v>80</v>
      </c>
      <c r="J57" s="15">
        <v>600</v>
      </c>
    </row>
    <row r="58" spans="2:10" x14ac:dyDescent="0.25">
      <c r="B58" s="15">
        <v>55</v>
      </c>
      <c r="C58" s="36" t="s">
        <v>34</v>
      </c>
      <c r="D58" s="15" t="s">
        <v>85</v>
      </c>
      <c r="E58" s="15" t="s">
        <v>35</v>
      </c>
      <c r="F58" s="15" t="s">
        <v>68</v>
      </c>
      <c r="G58" s="15" t="s">
        <v>18</v>
      </c>
      <c r="H58" s="15" t="s">
        <v>63</v>
      </c>
      <c r="I58" s="15">
        <v>80</v>
      </c>
      <c r="J58" s="15">
        <v>600</v>
      </c>
    </row>
    <row r="59" spans="2:10" x14ac:dyDescent="0.25">
      <c r="B59" s="15">
        <v>56</v>
      </c>
      <c r="C59" s="10" t="s">
        <v>37</v>
      </c>
      <c r="D59" s="15" t="s">
        <v>85</v>
      </c>
      <c r="E59" s="15" t="s">
        <v>92</v>
      </c>
      <c r="F59" s="15" t="s">
        <v>65</v>
      </c>
      <c r="G59" s="15" t="s">
        <v>18</v>
      </c>
      <c r="H59" s="15" t="s">
        <v>63</v>
      </c>
      <c r="I59" s="15">
        <v>80</v>
      </c>
      <c r="J59" s="15">
        <v>600</v>
      </c>
    </row>
    <row r="60" spans="2:10" x14ac:dyDescent="0.25">
      <c r="B60" s="15">
        <v>57</v>
      </c>
      <c r="C60" s="11" t="s">
        <v>40</v>
      </c>
      <c r="D60" s="15" t="s">
        <v>85</v>
      </c>
      <c r="E60" s="15" t="s">
        <v>93</v>
      </c>
      <c r="F60" s="15" t="s">
        <v>65</v>
      </c>
      <c r="G60" s="15" t="s">
        <v>18</v>
      </c>
      <c r="H60" s="15" t="s">
        <v>63</v>
      </c>
      <c r="I60" s="15">
        <v>80</v>
      </c>
      <c r="J60" s="15">
        <v>600</v>
      </c>
    </row>
    <row r="61" spans="2:10" x14ac:dyDescent="0.25">
      <c r="B61" s="15">
        <v>58</v>
      </c>
      <c r="C61" s="12" t="s">
        <v>43</v>
      </c>
      <c r="D61" s="15" t="s">
        <v>85</v>
      </c>
      <c r="E61" s="15" t="s">
        <v>94</v>
      </c>
      <c r="F61" s="15" t="s">
        <v>65</v>
      </c>
      <c r="G61" s="15" t="s">
        <v>18</v>
      </c>
      <c r="H61" s="15" t="s">
        <v>63</v>
      </c>
      <c r="I61" s="15">
        <v>80</v>
      </c>
      <c r="J61" s="15">
        <v>600</v>
      </c>
    </row>
    <row r="62" spans="2:10" x14ac:dyDescent="0.25">
      <c r="B62" s="15">
        <v>59</v>
      </c>
      <c r="C62" s="13" t="s">
        <v>46</v>
      </c>
      <c r="D62" s="15" t="s">
        <v>85</v>
      </c>
      <c r="E62" s="15" t="s">
        <v>80</v>
      </c>
      <c r="F62" s="15" t="s">
        <v>95</v>
      </c>
      <c r="G62" s="15" t="s">
        <v>13</v>
      </c>
      <c r="H62" s="15" t="s">
        <v>63</v>
      </c>
      <c r="I62" s="15">
        <v>10</v>
      </c>
      <c r="J62" s="15">
        <v>600</v>
      </c>
    </row>
    <row r="63" spans="2:10" x14ac:dyDescent="0.25">
      <c r="B63" s="15">
        <v>60</v>
      </c>
      <c r="C63" s="31" t="s">
        <v>82</v>
      </c>
      <c r="D63" s="15" t="s">
        <v>85</v>
      </c>
      <c r="E63" s="15" t="s">
        <v>96</v>
      </c>
      <c r="F63" s="15" t="s">
        <v>84</v>
      </c>
      <c r="G63" s="15" t="s">
        <v>18</v>
      </c>
      <c r="H63" s="15" t="s">
        <v>63</v>
      </c>
      <c r="I63" s="15">
        <v>60</v>
      </c>
      <c r="J63" s="15">
        <v>600</v>
      </c>
    </row>
    <row r="64" spans="2:10" x14ac:dyDescent="0.25">
      <c r="B64" s="15">
        <v>61</v>
      </c>
      <c r="C64" s="13" t="s">
        <v>46</v>
      </c>
      <c r="D64" s="15" t="s">
        <v>97</v>
      </c>
      <c r="E64" s="15" t="s">
        <v>98</v>
      </c>
      <c r="F64" s="15" t="s">
        <v>95</v>
      </c>
      <c r="G64" s="15" t="s">
        <v>13</v>
      </c>
      <c r="H64" s="15" t="s">
        <v>63</v>
      </c>
      <c r="I64" s="15">
        <v>80</v>
      </c>
      <c r="J64" s="15">
        <v>600</v>
      </c>
    </row>
    <row r="65" spans="2:10" x14ac:dyDescent="0.25">
      <c r="B65" s="15">
        <v>62</v>
      </c>
      <c r="C65" s="13" t="s">
        <v>46</v>
      </c>
      <c r="D65" s="15" t="s">
        <v>99</v>
      </c>
      <c r="E65" s="15" t="s">
        <v>98</v>
      </c>
      <c r="F65" s="15" t="s">
        <v>95</v>
      </c>
      <c r="G65" s="15" t="s">
        <v>13</v>
      </c>
      <c r="H65" s="15" t="s">
        <v>63</v>
      </c>
      <c r="I65" s="15">
        <v>80</v>
      </c>
      <c r="J65" s="15">
        <v>600</v>
      </c>
    </row>
    <row r="66" spans="2:10" x14ac:dyDescent="0.25">
      <c r="B66" s="15">
        <v>63</v>
      </c>
      <c r="C66" s="13" t="s">
        <v>46</v>
      </c>
      <c r="D66" s="15" t="s">
        <v>100</v>
      </c>
      <c r="E66" s="15" t="s">
        <v>98</v>
      </c>
      <c r="F66" s="15" t="s">
        <v>95</v>
      </c>
      <c r="G66" s="15" t="s">
        <v>13</v>
      </c>
      <c r="H66" s="15" t="s">
        <v>63</v>
      </c>
      <c r="I66" s="15">
        <v>80</v>
      </c>
      <c r="J66" s="15">
        <v>600</v>
      </c>
    </row>
    <row r="67" spans="2:10" x14ac:dyDescent="0.25">
      <c r="B67" s="15">
        <v>64</v>
      </c>
      <c r="C67" s="13" t="s">
        <v>46</v>
      </c>
      <c r="D67" s="15" t="s">
        <v>101</v>
      </c>
      <c r="E67" s="15" t="s">
        <v>98</v>
      </c>
      <c r="F67" s="15" t="s">
        <v>95</v>
      </c>
      <c r="G67" s="15" t="s">
        <v>13</v>
      </c>
      <c r="H67" s="15" t="s">
        <v>14</v>
      </c>
      <c r="I67" s="15">
        <v>80</v>
      </c>
      <c r="J67" s="15">
        <v>600</v>
      </c>
    </row>
    <row r="68" spans="2:10" x14ac:dyDescent="0.25">
      <c r="B68" s="15">
        <v>65</v>
      </c>
      <c r="C68" s="36" t="s">
        <v>34</v>
      </c>
      <c r="D68" s="15" t="s">
        <v>102</v>
      </c>
      <c r="E68" s="15" t="s">
        <v>35</v>
      </c>
      <c r="F68" s="15" t="s">
        <v>68</v>
      </c>
      <c r="G68" s="15" t="s">
        <v>18</v>
      </c>
      <c r="H68" s="15" t="s">
        <v>63</v>
      </c>
      <c r="I68" s="15">
        <v>80</v>
      </c>
      <c r="J68" s="15">
        <v>600</v>
      </c>
    </row>
  </sheetData>
  <autoFilter ref="C3:J68" xr:uid="{00000000-0009-0000-0000-000000000000}"/>
  <dataValidations count="1">
    <dataValidation type="list" allowBlank="1" showInputMessage="1" showErrorMessage="1" sqref="V30" xr:uid="{00000000-0002-0000-0000-000000000000}">
      <formula1>$U$15:$U$28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H11:AJ102"/>
  <sheetViews>
    <sheetView topLeftCell="K11" workbookViewId="0">
      <selection activeCell="O31" sqref="M31:R102"/>
    </sheetView>
  </sheetViews>
  <sheetFormatPr baseColWidth="10" defaultColWidth="9.140625" defaultRowHeight="15" x14ac:dyDescent="0.25"/>
  <sheetData>
    <row r="11" spans="8:36" x14ac:dyDescent="0.25">
      <c r="H11" s="29" t="s">
        <v>2</v>
      </c>
      <c r="I11" s="41" t="s">
        <v>10</v>
      </c>
      <c r="J11" s="42"/>
      <c r="K11" s="42"/>
      <c r="L11" s="42"/>
      <c r="M11" s="42"/>
      <c r="N11" s="43"/>
      <c r="O11" s="41" t="s">
        <v>48</v>
      </c>
      <c r="P11" s="42"/>
      <c r="Q11" s="42"/>
      <c r="R11" s="42"/>
      <c r="S11" s="42"/>
      <c r="T11" s="43"/>
    </row>
    <row r="12" spans="8:36" x14ac:dyDescent="0.25">
      <c r="H12" s="16" t="s">
        <v>1</v>
      </c>
      <c r="I12" s="30" t="s">
        <v>3</v>
      </c>
      <c r="J12" s="30" t="s">
        <v>4</v>
      </c>
      <c r="K12" s="30" t="s">
        <v>5</v>
      </c>
      <c r="L12" s="30" t="s">
        <v>6</v>
      </c>
      <c r="M12" s="30" t="s">
        <v>7</v>
      </c>
      <c r="N12" s="30" t="s">
        <v>8</v>
      </c>
      <c r="O12" s="30" t="s">
        <v>3</v>
      </c>
      <c r="P12" s="30" t="s">
        <v>4</v>
      </c>
      <c r="Q12" s="30" t="s">
        <v>5</v>
      </c>
      <c r="R12" s="30" t="s">
        <v>6</v>
      </c>
      <c r="S12" s="30" t="s">
        <v>7</v>
      </c>
      <c r="T12" s="30" t="s">
        <v>8</v>
      </c>
      <c r="X12" s="1"/>
      <c r="Y12" s="1"/>
      <c r="Z12" s="1"/>
      <c r="AA12" s="1"/>
      <c r="AB12" s="1"/>
    </row>
    <row r="13" spans="8:36" x14ac:dyDescent="0.25">
      <c r="H13" s="17" t="s">
        <v>9</v>
      </c>
      <c r="I13" s="15" t="s">
        <v>11</v>
      </c>
      <c r="J13" s="15" t="s">
        <v>12</v>
      </c>
      <c r="K13" s="15" t="s">
        <v>13</v>
      </c>
      <c r="L13" s="15" t="s">
        <v>14</v>
      </c>
      <c r="M13" s="15">
        <v>80</v>
      </c>
      <c r="N13" s="15">
        <v>600</v>
      </c>
      <c r="O13" s="15" t="s">
        <v>49</v>
      </c>
      <c r="P13" s="15" t="s">
        <v>12</v>
      </c>
      <c r="Q13" s="15" t="s">
        <v>13</v>
      </c>
      <c r="R13" s="15" t="s">
        <v>14</v>
      </c>
      <c r="S13" s="15">
        <v>80</v>
      </c>
      <c r="T13" s="15">
        <v>600</v>
      </c>
      <c r="X13" s="3"/>
      <c r="Y13" s="3" t="s">
        <v>60</v>
      </c>
      <c r="Z13" s="3" t="s">
        <v>10</v>
      </c>
      <c r="AA13" s="3" t="s">
        <v>48</v>
      </c>
      <c r="AB13" s="3" t="s">
        <v>85</v>
      </c>
    </row>
    <row r="14" spans="8:36" x14ac:dyDescent="0.25">
      <c r="H14" s="18" t="s">
        <v>15</v>
      </c>
      <c r="I14" s="15" t="s">
        <v>16</v>
      </c>
      <c r="J14" s="15" t="s">
        <v>17</v>
      </c>
      <c r="K14" s="15" t="s">
        <v>18</v>
      </c>
      <c r="L14" s="15" t="s">
        <v>14</v>
      </c>
      <c r="M14" s="15">
        <v>80</v>
      </c>
      <c r="N14" s="15">
        <v>600</v>
      </c>
      <c r="O14" s="15" t="s">
        <v>52</v>
      </c>
      <c r="P14" s="15" t="s">
        <v>12</v>
      </c>
      <c r="Q14" s="15" t="s">
        <v>13</v>
      </c>
      <c r="R14" s="15" t="s">
        <v>14</v>
      </c>
      <c r="S14" s="15">
        <v>80</v>
      </c>
      <c r="T14" s="15">
        <v>600</v>
      </c>
      <c r="X14" s="14" t="s">
        <v>9</v>
      </c>
      <c r="Y14" s="2">
        <v>1</v>
      </c>
      <c r="Z14" s="2">
        <v>1</v>
      </c>
      <c r="AA14" s="2">
        <v>1</v>
      </c>
      <c r="AB14" s="2">
        <v>0</v>
      </c>
      <c r="AE14" t="s">
        <v>11</v>
      </c>
      <c r="AF14" t="s">
        <v>49</v>
      </c>
      <c r="AG14" t="s">
        <v>11</v>
      </c>
    </row>
    <row r="15" spans="8:36" x14ac:dyDescent="0.25">
      <c r="H15" s="19" t="s">
        <v>19</v>
      </c>
      <c r="I15" s="15" t="s">
        <v>20</v>
      </c>
      <c r="J15" s="15" t="s">
        <v>21</v>
      </c>
      <c r="K15" s="15" t="s">
        <v>18</v>
      </c>
      <c r="L15" s="15" t="s">
        <v>14</v>
      </c>
      <c r="M15" s="15">
        <v>80</v>
      </c>
      <c r="N15" s="15">
        <v>600</v>
      </c>
      <c r="O15" s="15" t="s">
        <v>20</v>
      </c>
      <c r="P15" s="15" t="s">
        <v>21</v>
      </c>
      <c r="Q15" s="15" t="s">
        <v>18</v>
      </c>
      <c r="R15" s="15" t="s">
        <v>14</v>
      </c>
      <c r="S15" s="15">
        <v>80</v>
      </c>
      <c r="T15" s="15">
        <v>600</v>
      </c>
      <c r="X15" s="4" t="s">
        <v>15</v>
      </c>
      <c r="Y15" s="2">
        <v>1</v>
      </c>
      <c r="Z15" s="2">
        <v>1</v>
      </c>
      <c r="AA15" s="2">
        <v>1</v>
      </c>
      <c r="AB15" s="2">
        <v>0</v>
      </c>
      <c r="AE15" t="s">
        <v>16</v>
      </c>
      <c r="AF15" t="s">
        <v>103</v>
      </c>
      <c r="AG15" t="s">
        <v>16</v>
      </c>
      <c r="AJ15" s="14" t="s">
        <v>9</v>
      </c>
    </row>
    <row r="16" spans="8:36" x14ac:dyDescent="0.25">
      <c r="H16" s="20" t="s">
        <v>23</v>
      </c>
      <c r="I16" s="15" t="s">
        <v>24</v>
      </c>
      <c r="J16" s="15" t="s">
        <v>25</v>
      </c>
      <c r="K16" s="15" t="s">
        <v>18</v>
      </c>
      <c r="L16" s="15" t="s">
        <v>14</v>
      </c>
      <c r="M16" s="15">
        <v>80</v>
      </c>
      <c r="N16" s="15">
        <v>600</v>
      </c>
      <c r="O16" s="15" t="s">
        <v>53</v>
      </c>
      <c r="P16" t="s">
        <v>33</v>
      </c>
      <c r="Q16" s="15" t="s">
        <v>18</v>
      </c>
      <c r="R16" s="15" t="s">
        <v>14</v>
      </c>
      <c r="S16" s="15">
        <v>80</v>
      </c>
      <c r="T16" s="15">
        <v>600</v>
      </c>
      <c r="X16" s="5" t="s">
        <v>19</v>
      </c>
      <c r="Y16" s="2">
        <v>1</v>
      </c>
      <c r="Z16" s="2">
        <v>1</v>
      </c>
      <c r="AA16" s="2">
        <v>1</v>
      </c>
      <c r="AB16" s="2">
        <v>0</v>
      </c>
      <c r="AE16" t="s">
        <v>22</v>
      </c>
      <c r="AF16" t="s">
        <v>104</v>
      </c>
      <c r="AG16" t="s">
        <v>104</v>
      </c>
      <c r="AJ16" s="4" t="s">
        <v>15</v>
      </c>
    </row>
    <row r="17" spans="8:36" x14ac:dyDescent="0.25">
      <c r="H17" s="21" t="s">
        <v>26</v>
      </c>
      <c r="I17" s="15" t="s">
        <v>27</v>
      </c>
      <c r="J17" s="15" t="s">
        <v>28</v>
      </c>
      <c r="K17" s="15" t="s">
        <v>13</v>
      </c>
      <c r="L17" s="15" t="s">
        <v>14</v>
      </c>
      <c r="M17" s="15">
        <v>80</v>
      </c>
      <c r="N17" s="15">
        <v>600</v>
      </c>
      <c r="O17" s="15" t="s">
        <v>54</v>
      </c>
      <c r="P17" s="15" t="s">
        <v>28</v>
      </c>
      <c r="Q17" s="15" t="s">
        <v>13</v>
      </c>
      <c r="R17" s="15" t="s">
        <v>14</v>
      </c>
      <c r="S17" s="15">
        <v>80</v>
      </c>
      <c r="T17" s="15">
        <v>600</v>
      </c>
      <c r="X17" s="6" t="s">
        <v>23</v>
      </c>
      <c r="Y17" s="2">
        <v>1</v>
      </c>
      <c r="Z17" s="2">
        <v>1</v>
      </c>
      <c r="AA17" s="2">
        <v>1</v>
      </c>
      <c r="AB17" s="2">
        <v>0</v>
      </c>
      <c r="AE17" t="s">
        <v>105</v>
      </c>
      <c r="AF17" t="s">
        <v>53</v>
      </c>
      <c r="AG17" t="s">
        <v>24</v>
      </c>
      <c r="AJ17" s="5" t="s">
        <v>19</v>
      </c>
    </row>
    <row r="18" spans="8:36" x14ac:dyDescent="0.25">
      <c r="H18" s="22" t="s">
        <v>29</v>
      </c>
      <c r="I18" s="15" t="s">
        <v>30</v>
      </c>
      <c r="J18" s="15" t="s">
        <v>17</v>
      </c>
      <c r="K18" s="15" t="s">
        <v>18</v>
      </c>
      <c r="L18" s="15" t="s">
        <v>14</v>
      </c>
      <c r="M18" s="15">
        <v>80</v>
      </c>
      <c r="N18" s="15">
        <v>600</v>
      </c>
      <c r="O18" s="15" t="s">
        <v>55</v>
      </c>
      <c r="P18" s="15" t="s">
        <v>17</v>
      </c>
      <c r="Q18" s="15" t="s">
        <v>18</v>
      </c>
      <c r="R18" s="15" t="s">
        <v>14</v>
      </c>
      <c r="S18" s="15">
        <v>80</v>
      </c>
      <c r="T18" s="15">
        <v>600</v>
      </c>
      <c r="X18" s="7" t="s">
        <v>26</v>
      </c>
      <c r="Y18" s="2">
        <v>1</v>
      </c>
      <c r="Z18" s="2">
        <v>1</v>
      </c>
      <c r="AA18" s="2">
        <v>1</v>
      </c>
      <c r="AB18" s="2">
        <v>0</v>
      </c>
      <c r="AE18" t="s">
        <v>106</v>
      </c>
      <c r="AF18" t="s">
        <v>54</v>
      </c>
      <c r="AG18" t="s">
        <v>27</v>
      </c>
      <c r="AJ18" s="6" t="s">
        <v>23</v>
      </c>
    </row>
    <row r="19" spans="8:36" x14ac:dyDescent="0.25">
      <c r="H19" s="23" t="s">
        <v>31</v>
      </c>
      <c r="I19" s="15" t="s">
        <v>32</v>
      </c>
      <c r="J19" s="15" t="s">
        <v>33</v>
      </c>
      <c r="K19" s="15" t="s">
        <v>18</v>
      </c>
      <c r="L19" s="15" t="s">
        <v>14</v>
      </c>
      <c r="M19" s="15">
        <v>80</v>
      </c>
      <c r="N19" s="15">
        <v>600</v>
      </c>
      <c r="O19" s="15" t="s">
        <v>32</v>
      </c>
      <c r="P19" s="15" t="s">
        <v>21</v>
      </c>
      <c r="Q19" s="15" t="s">
        <v>18</v>
      </c>
      <c r="R19" s="15" t="s">
        <v>14</v>
      </c>
      <c r="S19" s="15">
        <v>80</v>
      </c>
      <c r="T19" s="15">
        <v>600</v>
      </c>
      <c r="X19" s="8" t="s">
        <v>29</v>
      </c>
      <c r="Y19" s="2">
        <v>1</v>
      </c>
      <c r="Z19" s="2">
        <v>1</v>
      </c>
      <c r="AA19" s="2">
        <v>1</v>
      </c>
      <c r="AB19" s="2">
        <v>0</v>
      </c>
      <c r="AE19" t="s">
        <v>30</v>
      </c>
      <c r="AF19" t="s">
        <v>55</v>
      </c>
      <c r="AG19" t="s">
        <v>30</v>
      </c>
      <c r="AJ19" s="7" t="s">
        <v>26</v>
      </c>
    </row>
    <row r="20" spans="8:36" x14ac:dyDescent="0.25">
      <c r="H20" s="24" t="s">
        <v>34</v>
      </c>
      <c r="I20" s="15" t="s">
        <v>35</v>
      </c>
      <c r="J20" s="15" t="s">
        <v>21</v>
      </c>
      <c r="K20" s="15" t="s">
        <v>18</v>
      </c>
      <c r="L20" s="15" t="s">
        <v>14</v>
      </c>
      <c r="M20" s="15">
        <v>80</v>
      </c>
      <c r="N20" s="15">
        <v>600</v>
      </c>
      <c r="O20" s="15" t="s">
        <v>56</v>
      </c>
      <c r="P20" s="15" t="s">
        <v>33</v>
      </c>
      <c r="Q20" s="15" t="s">
        <v>18</v>
      </c>
      <c r="R20" s="15" t="s">
        <v>14</v>
      </c>
      <c r="S20" s="15">
        <v>80</v>
      </c>
      <c r="T20" s="15">
        <v>600</v>
      </c>
      <c r="X20" s="9" t="s">
        <v>31</v>
      </c>
      <c r="Y20" s="2">
        <v>1</v>
      </c>
      <c r="Z20" s="2">
        <v>1</v>
      </c>
      <c r="AA20" s="2">
        <v>1</v>
      </c>
      <c r="AB20" s="2">
        <v>0</v>
      </c>
      <c r="AE20" t="s">
        <v>107</v>
      </c>
      <c r="AF20" t="s">
        <v>32</v>
      </c>
      <c r="AG20" t="s">
        <v>32</v>
      </c>
      <c r="AJ20" s="8" t="s">
        <v>29</v>
      </c>
    </row>
    <row r="21" spans="8:36" x14ac:dyDescent="0.25">
      <c r="H21" s="25" t="s">
        <v>37</v>
      </c>
      <c r="I21" s="15" t="s">
        <v>38</v>
      </c>
      <c r="J21" s="15" t="s">
        <v>39</v>
      </c>
      <c r="K21" s="15" t="s">
        <v>13</v>
      </c>
      <c r="L21" s="15" t="s">
        <v>14</v>
      </c>
      <c r="M21" s="15">
        <v>80</v>
      </c>
      <c r="N21" s="15">
        <v>600</v>
      </c>
      <c r="O21" s="15" t="s">
        <v>57</v>
      </c>
      <c r="P21" s="15" t="s">
        <v>33</v>
      </c>
      <c r="Q21" s="15" t="s">
        <v>18</v>
      </c>
      <c r="R21" s="15" t="s">
        <v>14</v>
      </c>
      <c r="S21" s="15">
        <v>80</v>
      </c>
      <c r="T21" s="15">
        <v>600</v>
      </c>
      <c r="X21" s="36" t="s">
        <v>34</v>
      </c>
      <c r="Y21" s="2">
        <v>1</v>
      </c>
      <c r="Z21" s="2">
        <v>1</v>
      </c>
      <c r="AA21" s="2">
        <v>1</v>
      </c>
      <c r="AB21" s="2">
        <v>0</v>
      </c>
      <c r="AE21" t="s">
        <v>35</v>
      </c>
      <c r="AF21" t="s">
        <v>56</v>
      </c>
      <c r="AG21" t="s">
        <v>35</v>
      </c>
      <c r="AJ21" s="9" t="s">
        <v>31</v>
      </c>
    </row>
    <row r="22" spans="8:36" x14ac:dyDescent="0.25">
      <c r="H22" s="26" t="s">
        <v>40</v>
      </c>
      <c r="I22" s="15" t="s">
        <v>41</v>
      </c>
      <c r="J22" s="15" t="s">
        <v>42</v>
      </c>
      <c r="K22" s="15" t="s">
        <v>13</v>
      </c>
      <c r="L22" s="15" t="s">
        <v>14</v>
      </c>
      <c r="M22" s="15">
        <v>80</v>
      </c>
      <c r="N22" s="15">
        <v>600</v>
      </c>
      <c r="O22" s="15" t="s">
        <v>41</v>
      </c>
      <c r="P22" s="15" t="s">
        <v>58</v>
      </c>
      <c r="Q22" s="15" t="s">
        <v>13</v>
      </c>
      <c r="R22" s="15" t="s">
        <v>14</v>
      </c>
      <c r="S22" s="15">
        <v>80</v>
      </c>
      <c r="T22" s="15">
        <v>600</v>
      </c>
      <c r="X22" s="10" t="s">
        <v>37</v>
      </c>
      <c r="Y22" s="2">
        <v>1</v>
      </c>
      <c r="Z22" s="2">
        <v>1</v>
      </c>
      <c r="AA22" s="2">
        <v>1</v>
      </c>
      <c r="AB22" s="2">
        <v>0</v>
      </c>
      <c r="AE22" t="s">
        <v>108</v>
      </c>
      <c r="AF22" t="s">
        <v>57</v>
      </c>
      <c r="AG22" t="s">
        <v>38</v>
      </c>
      <c r="AJ22" s="36" t="s">
        <v>34</v>
      </c>
    </row>
    <row r="23" spans="8:36" x14ac:dyDescent="0.25">
      <c r="H23" s="27" t="s">
        <v>43</v>
      </c>
      <c r="I23" s="15" t="s">
        <v>44</v>
      </c>
      <c r="J23" s="15" t="s">
        <v>45</v>
      </c>
      <c r="K23" s="15" t="s">
        <v>18</v>
      </c>
      <c r="L23" s="15" t="s">
        <v>14</v>
      </c>
      <c r="M23" s="15">
        <v>80</v>
      </c>
      <c r="N23" s="15">
        <v>600</v>
      </c>
      <c r="O23" s="15" t="s">
        <v>35</v>
      </c>
      <c r="P23" s="15" t="s">
        <v>59</v>
      </c>
      <c r="Q23" s="15" t="s">
        <v>18</v>
      </c>
      <c r="R23" s="15" t="s">
        <v>14</v>
      </c>
      <c r="S23" s="15">
        <v>80</v>
      </c>
      <c r="T23" s="15">
        <v>600</v>
      </c>
      <c r="X23" s="11" t="s">
        <v>40</v>
      </c>
      <c r="Y23" s="2">
        <v>1</v>
      </c>
      <c r="Z23" s="2">
        <v>1</v>
      </c>
      <c r="AA23" s="2">
        <v>1</v>
      </c>
      <c r="AB23" s="2">
        <v>0</v>
      </c>
      <c r="AE23" t="s">
        <v>41</v>
      </c>
      <c r="AF23" t="s">
        <v>41</v>
      </c>
      <c r="AG23" t="s">
        <v>41</v>
      </c>
      <c r="AJ23" s="10" t="s">
        <v>37</v>
      </c>
    </row>
    <row r="24" spans="8:36" x14ac:dyDescent="0.25">
      <c r="H24" s="28" t="s">
        <v>46</v>
      </c>
      <c r="I24" s="15" t="s">
        <v>47</v>
      </c>
      <c r="J24" s="15" t="s">
        <v>17</v>
      </c>
      <c r="K24" s="15" t="s">
        <v>18</v>
      </c>
      <c r="L24" s="15" t="s">
        <v>14</v>
      </c>
      <c r="M24" s="15">
        <v>80</v>
      </c>
      <c r="N24" s="15">
        <v>600</v>
      </c>
      <c r="O24" s="15" t="s">
        <v>24</v>
      </c>
      <c r="P24" s="15" t="s">
        <v>17</v>
      </c>
      <c r="Q24" s="15" t="s">
        <v>18</v>
      </c>
      <c r="R24" s="15" t="s">
        <v>14</v>
      </c>
      <c r="S24" s="15">
        <v>80</v>
      </c>
      <c r="T24" s="15">
        <v>600</v>
      </c>
      <c r="X24" s="12" t="s">
        <v>43</v>
      </c>
      <c r="Y24" s="2">
        <v>1</v>
      </c>
      <c r="Z24" s="2">
        <v>1</v>
      </c>
      <c r="AA24" s="2">
        <v>1</v>
      </c>
      <c r="AB24" s="2">
        <v>0</v>
      </c>
      <c r="AE24" t="s">
        <v>109</v>
      </c>
      <c r="AF24" t="s">
        <v>110</v>
      </c>
      <c r="AG24" t="s">
        <v>111</v>
      </c>
      <c r="AJ24" s="11" t="s">
        <v>40</v>
      </c>
    </row>
    <row r="25" spans="8:36" x14ac:dyDescent="0.25">
      <c r="X25" s="13" t="s">
        <v>46</v>
      </c>
      <c r="Y25" s="2">
        <v>1</v>
      </c>
      <c r="Z25" s="2">
        <v>1</v>
      </c>
      <c r="AA25" s="2">
        <v>1</v>
      </c>
      <c r="AB25" s="2">
        <v>0</v>
      </c>
      <c r="AE25" t="s">
        <v>112</v>
      </c>
      <c r="AF25" t="s">
        <v>113</v>
      </c>
      <c r="AG25" t="s">
        <v>47</v>
      </c>
      <c r="AJ25" s="12" t="s">
        <v>43</v>
      </c>
    </row>
    <row r="26" spans="8:36" x14ac:dyDescent="0.25">
      <c r="X26" s="3" t="s">
        <v>114</v>
      </c>
      <c r="Y26" s="3">
        <f>SUM(Y14:Y25)</f>
        <v>12</v>
      </c>
      <c r="Z26" s="3">
        <f>SUM(Z14:Z25)</f>
        <v>12</v>
      </c>
      <c r="AA26" s="3">
        <f>SUM(AA14:AA25)</f>
        <v>12</v>
      </c>
      <c r="AB26" s="3">
        <f>SUM(AB14:AB25)</f>
        <v>0</v>
      </c>
      <c r="AJ26" s="13" t="s">
        <v>46</v>
      </c>
    </row>
    <row r="27" spans="8:36" x14ac:dyDescent="0.25">
      <c r="X27" s="3" t="s">
        <v>115</v>
      </c>
      <c r="Y27" s="3">
        <f>12-Y26</f>
        <v>0</v>
      </c>
      <c r="Z27" s="3">
        <f>12-Z26</f>
        <v>0</v>
      </c>
      <c r="AA27" s="3">
        <f>12-AA26</f>
        <v>0</v>
      </c>
      <c r="AB27" s="3">
        <f>12-AB26</f>
        <v>12</v>
      </c>
      <c r="AC27" s="3">
        <f>SUM(Y27:AB27)</f>
        <v>12</v>
      </c>
      <c r="AJ27" s="31" t="s">
        <v>82</v>
      </c>
    </row>
    <row r="31" spans="8:36" ht="24" customHeight="1" x14ac:dyDescent="0.4">
      <c r="O31" s="32" t="s">
        <v>116</v>
      </c>
    </row>
    <row r="32" spans="8:36" x14ac:dyDescent="0.25">
      <c r="O32" t="s">
        <v>117</v>
      </c>
    </row>
    <row r="33" spans="15:15" x14ac:dyDescent="0.25">
      <c r="O33" t="s">
        <v>80</v>
      </c>
    </row>
    <row r="34" spans="15:15" x14ac:dyDescent="0.25">
      <c r="O34" t="s">
        <v>61</v>
      </c>
    </row>
    <row r="36" spans="15:15" x14ac:dyDescent="0.25">
      <c r="O36" t="s">
        <v>41</v>
      </c>
    </row>
    <row r="37" spans="15:15" x14ac:dyDescent="0.25">
      <c r="O37" t="s">
        <v>51</v>
      </c>
    </row>
    <row r="38" spans="15:15" x14ac:dyDescent="0.25">
      <c r="O38" t="s">
        <v>118</v>
      </c>
    </row>
    <row r="39" spans="15:15" x14ac:dyDescent="0.25">
      <c r="O39" t="s">
        <v>119</v>
      </c>
    </row>
    <row r="40" spans="15:15" x14ac:dyDescent="0.25">
      <c r="O40" t="s">
        <v>120</v>
      </c>
    </row>
    <row r="41" spans="15:15" x14ac:dyDescent="0.25">
      <c r="O41" t="s">
        <v>76</v>
      </c>
    </row>
    <row r="42" spans="15:15" x14ac:dyDescent="0.25">
      <c r="O42" t="s">
        <v>74</v>
      </c>
    </row>
    <row r="43" spans="15:15" x14ac:dyDescent="0.25">
      <c r="O43" t="s">
        <v>121</v>
      </c>
    </row>
    <row r="44" spans="15:15" x14ac:dyDescent="0.25">
      <c r="O44" t="s">
        <v>122</v>
      </c>
    </row>
    <row r="45" spans="15:15" x14ac:dyDescent="0.25">
      <c r="O45" t="s">
        <v>123</v>
      </c>
    </row>
    <row r="46" spans="15:15" x14ac:dyDescent="0.25">
      <c r="O46" t="s">
        <v>96</v>
      </c>
    </row>
    <row r="47" spans="15:15" x14ac:dyDescent="0.25">
      <c r="O47" t="s">
        <v>112</v>
      </c>
    </row>
    <row r="48" spans="15:15" x14ac:dyDescent="0.25">
      <c r="O48" t="s">
        <v>93</v>
      </c>
    </row>
    <row r="49" spans="15:15" x14ac:dyDescent="0.25">
      <c r="O49" t="s">
        <v>124</v>
      </c>
    </row>
    <row r="50" spans="15:15" x14ac:dyDescent="0.25">
      <c r="O50" t="s">
        <v>125</v>
      </c>
    </row>
    <row r="51" spans="15:15" x14ac:dyDescent="0.25">
      <c r="O51" t="s">
        <v>52</v>
      </c>
    </row>
    <row r="52" spans="15:15" x14ac:dyDescent="0.25">
      <c r="O52" t="s">
        <v>30</v>
      </c>
    </row>
    <row r="53" spans="15:15" x14ac:dyDescent="0.25">
      <c r="O53" t="s">
        <v>90</v>
      </c>
    </row>
    <row r="54" spans="15:15" x14ac:dyDescent="0.25">
      <c r="O54" t="s">
        <v>94</v>
      </c>
    </row>
    <row r="55" spans="15:15" x14ac:dyDescent="0.25">
      <c r="O55" t="s">
        <v>126</v>
      </c>
    </row>
    <row r="56" spans="15:15" x14ac:dyDescent="0.25">
      <c r="O56" t="s">
        <v>127</v>
      </c>
    </row>
    <row r="57" spans="15:15" x14ac:dyDescent="0.25">
      <c r="O57" t="s">
        <v>128</v>
      </c>
    </row>
    <row r="58" spans="15:15" x14ac:dyDescent="0.25">
      <c r="O58" t="s">
        <v>92</v>
      </c>
    </row>
    <row r="59" spans="15:15" x14ac:dyDescent="0.25">
      <c r="O59" t="s">
        <v>87</v>
      </c>
    </row>
    <row r="60" spans="15:15" x14ac:dyDescent="0.25">
      <c r="O60" t="s">
        <v>66</v>
      </c>
    </row>
    <row r="61" spans="15:15" x14ac:dyDescent="0.25">
      <c r="O61" t="s">
        <v>70</v>
      </c>
    </row>
    <row r="62" spans="15:15" x14ac:dyDescent="0.25">
      <c r="O62" t="s">
        <v>71</v>
      </c>
    </row>
    <row r="63" spans="15:15" x14ac:dyDescent="0.25">
      <c r="O63" t="s">
        <v>129</v>
      </c>
    </row>
    <row r="64" spans="15:15" x14ac:dyDescent="0.25">
      <c r="O64" t="s">
        <v>91</v>
      </c>
    </row>
    <row r="65" spans="15:15" x14ac:dyDescent="0.25">
      <c r="O65" t="s">
        <v>77</v>
      </c>
    </row>
    <row r="66" spans="15:15" x14ac:dyDescent="0.25">
      <c r="O66" t="s">
        <v>64</v>
      </c>
    </row>
    <row r="67" spans="15:15" x14ac:dyDescent="0.25">
      <c r="O67" t="s">
        <v>89</v>
      </c>
    </row>
    <row r="68" spans="15:15" x14ac:dyDescent="0.25">
      <c r="O68" t="s">
        <v>108</v>
      </c>
    </row>
    <row r="69" spans="15:15" x14ac:dyDescent="0.25">
      <c r="O69" t="s">
        <v>38</v>
      </c>
    </row>
    <row r="70" spans="15:15" x14ac:dyDescent="0.25">
      <c r="O70" t="s">
        <v>47</v>
      </c>
    </row>
    <row r="71" spans="15:15" x14ac:dyDescent="0.25">
      <c r="O71" t="s">
        <v>44</v>
      </c>
    </row>
    <row r="72" spans="15:15" x14ac:dyDescent="0.25">
      <c r="O72" t="s">
        <v>20</v>
      </c>
    </row>
    <row r="73" spans="15:15" x14ac:dyDescent="0.25">
      <c r="O73" t="s">
        <v>32</v>
      </c>
    </row>
    <row r="74" spans="15:15" x14ac:dyDescent="0.25">
      <c r="O74" t="s">
        <v>130</v>
      </c>
    </row>
    <row r="75" spans="15:15" x14ac:dyDescent="0.25">
      <c r="O75" t="s">
        <v>131</v>
      </c>
    </row>
    <row r="76" spans="15:15" x14ac:dyDescent="0.25">
      <c r="O76" t="s">
        <v>132</v>
      </c>
    </row>
    <row r="77" spans="15:15" x14ac:dyDescent="0.25">
      <c r="O77" t="s">
        <v>86</v>
      </c>
    </row>
    <row r="78" spans="15:15" x14ac:dyDescent="0.25">
      <c r="O78" t="s">
        <v>88</v>
      </c>
    </row>
    <row r="79" spans="15:15" x14ac:dyDescent="0.25">
      <c r="O79" t="s">
        <v>106</v>
      </c>
    </row>
    <row r="80" spans="15:15" x14ac:dyDescent="0.25">
      <c r="O80" t="s">
        <v>109</v>
      </c>
    </row>
    <row r="81" spans="15:15" x14ac:dyDescent="0.25">
      <c r="O81" t="s">
        <v>79</v>
      </c>
    </row>
    <row r="82" spans="15:15" x14ac:dyDescent="0.25">
      <c r="O82" t="s">
        <v>78</v>
      </c>
    </row>
    <row r="83" spans="15:15" x14ac:dyDescent="0.25">
      <c r="O83" t="s">
        <v>69</v>
      </c>
    </row>
    <row r="84" spans="15:15" x14ac:dyDescent="0.25">
      <c r="O84" t="s">
        <v>54</v>
      </c>
    </row>
    <row r="85" spans="15:15" x14ac:dyDescent="0.25">
      <c r="O85" t="s">
        <v>53</v>
      </c>
    </row>
    <row r="86" spans="15:15" x14ac:dyDescent="0.25">
      <c r="O86" t="s">
        <v>24</v>
      </c>
    </row>
    <row r="87" spans="15:15" x14ac:dyDescent="0.25">
      <c r="O87" t="s">
        <v>57</v>
      </c>
    </row>
    <row r="88" spans="15:15" x14ac:dyDescent="0.25">
      <c r="O88" t="s">
        <v>49</v>
      </c>
    </row>
    <row r="89" spans="15:15" x14ac:dyDescent="0.25">
      <c r="O89" t="s">
        <v>11</v>
      </c>
    </row>
    <row r="90" spans="15:15" x14ac:dyDescent="0.25">
      <c r="O90" t="s">
        <v>56</v>
      </c>
    </row>
    <row r="91" spans="15:15" x14ac:dyDescent="0.25">
      <c r="O91" t="s">
        <v>72</v>
      </c>
    </row>
    <row r="92" spans="15:15" x14ac:dyDescent="0.25">
      <c r="O92" t="s">
        <v>50</v>
      </c>
    </row>
    <row r="93" spans="15:15" x14ac:dyDescent="0.25">
      <c r="O93" t="s">
        <v>35</v>
      </c>
    </row>
    <row r="94" spans="15:15" x14ac:dyDescent="0.25">
      <c r="O94" t="s">
        <v>16</v>
      </c>
    </row>
    <row r="95" spans="15:15" x14ac:dyDescent="0.25">
      <c r="O95" t="s">
        <v>67</v>
      </c>
    </row>
    <row r="96" spans="15:15" x14ac:dyDescent="0.25">
      <c r="O96" t="s">
        <v>133</v>
      </c>
    </row>
    <row r="97" spans="15:15" x14ac:dyDescent="0.25">
      <c r="O97" t="s">
        <v>107</v>
      </c>
    </row>
    <row r="98" spans="15:15" x14ac:dyDescent="0.25">
      <c r="O98" t="s">
        <v>134</v>
      </c>
    </row>
    <row r="99" spans="15:15" x14ac:dyDescent="0.25">
      <c r="O99" t="s">
        <v>27</v>
      </c>
    </row>
    <row r="100" spans="15:15" x14ac:dyDescent="0.25">
      <c r="O100" t="s">
        <v>135</v>
      </c>
    </row>
    <row r="101" spans="15:15" x14ac:dyDescent="0.25">
      <c r="O101" t="s">
        <v>83</v>
      </c>
    </row>
    <row r="102" spans="15:15" x14ac:dyDescent="0.25">
      <c r="O102" t="s">
        <v>136</v>
      </c>
    </row>
  </sheetData>
  <mergeCells count="2">
    <mergeCell ref="O11:T11"/>
    <mergeCell ref="I11:N11"/>
  </mergeCells>
  <dataValidations count="1">
    <dataValidation type="list" allowBlank="1" showInputMessage="1" showErrorMessage="1" sqref="AK28" xr:uid="{00000000-0002-0000-0100-000000000000}">
      <formula1>$U$13:$U$24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22"/>
  <sheetViews>
    <sheetView tabSelected="1" workbookViewId="0">
      <selection activeCell="F28" sqref="F28"/>
    </sheetView>
  </sheetViews>
  <sheetFormatPr baseColWidth="10" defaultColWidth="9.140625" defaultRowHeight="15" x14ac:dyDescent="0.25"/>
  <cols>
    <col min="2" max="2" width="35.42578125" customWidth="1"/>
    <col min="3" max="3" width="20.140625" bestFit="1" customWidth="1"/>
    <col min="4" max="4" width="15.42578125" bestFit="1" customWidth="1"/>
    <col min="5" max="5" width="10" customWidth="1"/>
    <col min="6" max="6" width="18.42578125" bestFit="1" customWidth="1"/>
    <col min="7" max="7" width="13.5703125" customWidth="1"/>
    <col min="8" max="8" width="25.28515625" bestFit="1" customWidth="1"/>
    <col min="9" max="9" width="15" bestFit="1" customWidth="1"/>
    <col min="10" max="10" width="14.7109375" bestFit="1" customWidth="1"/>
    <col min="11" max="11" width="25.28515625" bestFit="1" customWidth="1"/>
    <col min="12" max="12" width="10.140625" bestFit="1" customWidth="1"/>
    <col min="13" max="13" width="14.7109375" bestFit="1" customWidth="1"/>
    <col min="14" max="14" width="10.140625" bestFit="1" customWidth="1"/>
    <col min="15" max="15" width="14.7109375" bestFit="1" customWidth="1"/>
  </cols>
  <sheetData>
    <row r="2" spans="2:13" x14ac:dyDescent="0.25">
      <c r="B2" s="44" t="s">
        <v>137</v>
      </c>
      <c r="C2" s="44"/>
      <c r="D2" s="44"/>
      <c r="E2" s="44"/>
      <c r="F2" s="44"/>
      <c r="G2" s="44"/>
      <c r="H2" s="44"/>
      <c r="I2" s="44"/>
      <c r="K2" s="34" t="s">
        <v>3</v>
      </c>
      <c r="L2" s="3" t="s">
        <v>138</v>
      </c>
      <c r="M2" s="35" t="s">
        <v>139</v>
      </c>
    </row>
    <row r="3" spans="2:13" x14ac:dyDescent="0.25">
      <c r="B3" s="37" t="s">
        <v>140</v>
      </c>
      <c r="C3" s="38" t="s">
        <v>141</v>
      </c>
      <c r="D3" s="38" t="s">
        <v>142</v>
      </c>
      <c r="E3" s="38" t="s">
        <v>143</v>
      </c>
      <c r="F3" s="38" t="s">
        <v>144</v>
      </c>
      <c r="G3" s="38" t="s">
        <v>185</v>
      </c>
      <c r="H3" s="38" t="s">
        <v>186</v>
      </c>
      <c r="I3" s="38" t="s">
        <v>187</v>
      </c>
      <c r="K3" s="7" t="s">
        <v>145</v>
      </c>
      <c r="L3" s="33" t="s">
        <v>146</v>
      </c>
      <c r="M3" s="2">
        <f>(D4*E4+D5*E5)</f>
        <v>0</v>
      </c>
    </row>
    <row r="4" spans="2:13" x14ac:dyDescent="0.25">
      <c r="B4" s="39" t="s">
        <v>147</v>
      </c>
      <c r="C4" s="40" t="s">
        <v>145</v>
      </c>
      <c r="D4" s="40">
        <v>40</v>
      </c>
      <c r="E4" s="40">
        <v>0</v>
      </c>
      <c r="F4" s="40">
        <v>9698.9599999999991</v>
      </c>
      <c r="G4" s="40"/>
      <c r="H4" s="40"/>
      <c r="I4" s="40"/>
      <c r="K4" s="7" t="s">
        <v>148</v>
      </c>
      <c r="L4" s="2" t="s">
        <v>149</v>
      </c>
      <c r="M4" s="2">
        <f>D6*E6+D7*E7</f>
        <v>0</v>
      </c>
    </row>
    <row r="5" spans="2:13" x14ac:dyDescent="0.25">
      <c r="B5" s="39" t="s">
        <v>150</v>
      </c>
      <c r="C5" s="40" t="s">
        <v>145</v>
      </c>
      <c r="D5" s="40">
        <v>10</v>
      </c>
      <c r="E5" s="40">
        <v>0</v>
      </c>
      <c r="F5" s="40">
        <v>3999.92</v>
      </c>
      <c r="G5" s="40"/>
      <c r="H5" s="40"/>
      <c r="I5" s="40"/>
      <c r="K5" s="7" t="s">
        <v>151</v>
      </c>
      <c r="L5" s="2" t="s">
        <v>152</v>
      </c>
      <c r="M5" s="2">
        <f>D8*E8+D9*E9</f>
        <v>18</v>
      </c>
    </row>
    <row r="6" spans="2:13" x14ac:dyDescent="0.25">
      <c r="B6" s="39" t="s">
        <v>153</v>
      </c>
      <c r="C6" s="40" t="s">
        <v>148</v>
      </c>
      <c r="D6" s="40">
        <v>50</v>
      </c>
      <c r="E6" s="40">
        <v>0</v>
      </c>
      <c r="F6" s="40">
        <v>28999.51</v>
      </c>
      <c r="G6" s="40"/>
      <c r="H6" s="40"/>
      <c r="I6" s="40"/>
      <c r="K6" s="7" t="s">
        <v>154</v>
      </c>
      <c r="L6" s="2" t="s">
        <v>155</v>
      </c>
      <c r="M6" s="2">
        <f>D10*E10+D11*E11</f>
        <v>36</v>
      </c>
    </row>
    <row r="7" spans="2:13" x14ac:dyDescent="0.25">
      <c r="B7" s="39" t="s">
        <v>156</v>
      </c>
      <c r="C7" s="40" t="s">
        <v>148</v>
      </c>
      <c r="D7" s="40">
        <v>16</v>
      </c>
      <c r="E7" s="40">
        <v>0</v>
      </c>
      <c r="F7" s="40">
        <v>6500.99</v>
      </c>
      <c r="G7" s="40"/>
      <c r="H7" s="40"/>
      <c r="I7" s="40"/>
      <c r="K7" s="7" t="s">
        <v>157</v>
      </c>
      <c r="L7" s="2" t="s">
        <v>158</v>
      </c>
      <c r="M7" s="2">
        <f>D12*E12</f>
        <v>50</v>
      </c>
    </row>
    <row r="8" spans="2:13" x14ac:dyDescent="0.25">
      <c r="B8" s="39" t="s">
        <v>159</v>
      </c>
      <c r="C8" s="40" t="s">
        <v>151</v>
      </c>
      <c r="D8" s="40">
        <v>30</v>
      </c>
      <c r="E8" s="40">
        <v>0</v>
      </c>
      <c r="F8" s="40">
        <v>14210</v>
      </c>
      <c r="G8" s="40"/>
      <c r="H8" s="40"/>
      <c r="I8" s="40"/>
      <c r="K8" s="7" t="s">
        <v>160</v>
      </c>
      <c r="L8" s="2" t="s">
        <v>161</v>
      </c>
      <c r="M8" s="2">
        <f>D13*E13+D14*E14</f>
        <v>0</v>
      </c>
    </row>
    <row r="9" spans="2:13" x14ac:dyDescent="0.25">
      <c r="B9" s="39" t="s">
        <v>162</v>
      </c>
      <c r="C9" s="40" t="s">
        <v>151</v>
      </c>
      <c r="D9" s="40">
        <v>6</v>
      </c>
      <c r="E9" s="40">
        <v>3</v>
      </c>
      <c r="F9" s="40">
        <v>2984.96</v>
      </c>
      <c r="G9" s="40"/>
      <c r="H9" s="40"/>
      <c r="I9" s="40"/>
      <c r="K9" s="7" t="s">
        <v>163</v>
      </c>
      <c r="L9" s="2" t="s">
        <v>164</v>
      </c>
      <c r="M9" s="2">
        <f>D15*E15+D16*E16</f>
        <v>0</v>
      </c>
    </row>
    <row r="10" spans="2:13" x14ac:dyDescent="0.25">
      <c r="B10" s="39" t="s">
        <v>165</v>
      </c>
      <c r="C10" s="40" t="s">
        <v>154</v>
      </c>
      <c r="D10" s="40">
        <v>6</v>
      </c>
      <c r="E10" s="40">
        <v>6</v>
      </c>
      <c r="F10" s="40">
        <v>9999.0400000000009</v>
      </c>
      <c r="G10" s="40"/>
      <c r="H10" s="40"/>
      <c r="I10" s="40"/>
      <c r="K10" s="7" t="s">
        <v>166</v>
      </c>
      <c r="L10" s="2" t="s">
        <v>167</v>
      </c>
      <c r="M10" s="2">
        <f>D17*E17+D18*E18</f>
        <v>80</v>
      </c>
    </row>
    <row r="11" spans="2:13" x14ac:dyDescent="0.25">
      <c r="B11" s="39" t="s">
        <v>168</v>
      </c>
      <c r="C11" s="40" t="s">
        <v>154</v>
      </c>
      <c r="D11" s="40">
        <v>35</v>
      </c>
      <c r="E11" s="40">
        <v>0</v>
      </c>
      <c r="F11" s="40">
        <v>25999.98</v>
      </c>
      <c r="G11" s="40"/>
      <c r="H11" s="40"/>
      <c r="I11" s="40"/>
      <c r="K11" s="7" t="s">
        <v>169</v>
      </c>
      <c r="L11" s="2" t="s">
        <v>170</v>
      </c>
      <c r="M11" s="2">
        <f>D19*E19+D20*E20</f>
        <v>40</v>
      </c>
    </row>
    <row r="12" spans="2:13" x14ac:dyDescent="0.25">
      <c r="B12" s="39" t="s">
        <v>171</v>
      </c>
      <c r="C12" s="40" t="s">
        <v>157</v>
      </c>
      <c r="D12" s="40">
        <v>10</v>
      </c>
      <c r="E12" s="40">
        <v>5</v>
      </c>
      <c r="F12" s="40">
        <v>7295.53</v>
      </c>
      <c r="G12" s="40"/>
      <c r="H12" s="40"/>
      <c r="I12" s="40"/>
      <c r="K12" s="7" t="s">
        <v>172</v>
      </c>
      <c r="L12" s="2" t="s">
        <v>173</v>
      </c>
      <c r="M12" s="2">
        <f>D21*E21+D22*E22</f>
        <v>120</v>
      </c>
    </row>
    <row r="13" spans="2:13" x14ac:dyDescent="0.25">
      <c r="B13" s="39" t="s">
        <v>174</v>
      </c>
      <c r="C13" s="40" t="s">
        <v>160</v>
      </c>
      <c r="D13" s="40">
        <v>30</v>
      </c>
      <c r="E13" s="40">
        <v>0</v>
      </c>
      <c r="F13" s="40">
        <v>16999.98</v>
      </c>
      <c r="G13" s="40"/>
      <c r="H13" s="40"/>
      <c r="I13" s="40"/>
    </row>
    <row r="14" spans="2:13" x14ac:dyDescent="0.25">
      <c r="B14" s="39" t="s">
        <v>175</v>
      </c>
      <c r="C14" s="40" t="s">
        <v>160</v>
      </c>
      <c r="D14" s="40">
        <v>8</v>
      </c>
      <c r="E14" s="40">
        <v>0</v>
      </c>
      <c r="F14" s="40">
        <v>5050.99</v>
      </c>
      <c r="G14" s="40"/>
      <c r="H14" s="40"/>
      <c r="I14" s="40"/>
    </row>
    <row r="15" spans="2:13" x14ac:dyDescent="0.25">
      <c r="B15" s="39" t="s">
        <v>176</v>
      </c>
      <c r="C15" s="40" t="s">
        <v>163</v>
      </c>
      <c r="D15" s="40">
        <v>8</v>
      </c>
      <c r="E15" s="40">
        <v>0</v>
      </c>
      <c r="F15" s="40">
        <v>3300</v>
      </c>
      <c r="G15" s="40"/>
      <c r="H15" s="40"/>
      <c r="I15" s="40"/>
      <c r="K15" s="14" t="s">
        <v>177</v>
      </c>
    </row>
    <row r="16" spans="2:13" x14ac:dyDescent="0.25">
      <c r="B16" s="39" t="s">
        <v>178</v>
      </c>
      <c r="C16" s="40" t="s">
        <v>163</v>
      </c>
      <c r="D16" s="40">
        <v>20</v>
      </c>
      <c r="E16" s="40">
        <v>0</v>
      </c>
      <c r="F16" s="40">
        <v>15000.51</v>
      </c>
      <c r="G16" s="40"/>
      <c r="H16" s="40"/>
      <c r="I16" s="40"/>
      <c r="K16" s="7">
        <f t="array" ref="K16">SUM(E4:E22*F4:F22)*0.95</f>
        <v>225504.13150000002</v>
      </c>
    </row>
    <row r="17" spans="2:9" x14ac:dyDescent="0.25">
      <c r="B17" s="39" t="s">
        <v>179</v>
      </c>
      <c r="C17" s="40" t="s">
        <v>166</v>
      </c>
      <c r="D17" s="40">
        <v>12</v>
      </c>
      <c r="E17" s="40">
        <v>0</v>
      </c>
      <c r="F17" s="40">
        <v>4750</v>
      </c>
      <c r="G17" s="40"/>
      <c r="H17" s="40"/>
      <c r="I17" s="40"/>
    </row>
    <row r="18" spans="2:9" x14ac:dyDescent="0.25">
      <c r="B18" s="39" t="s">
        <v>180</v>
      </c>
      <c r="C18" s="40" t="s">
        <v>166</v>
      </c>
      <c r="D18" s="40">
        <v>20</v>
      </c>
      <c r="E18" s="40">
        <v>4</v>
      </c>
      <c r="F18" s="40">
        <v>10000.5</v>
      </c>
      <c r="G18" s="40"/>
      <c r="H18" s="40"/>
      <c r="I18" s="40"/>
    </row>
    <row r="19" spans="2:9" x14ac:dyDescent="0.25">
      <c r="B19" s="39" t="s">
        <v>181</v>
      </c>
      <c r="C19" s="40" t="s">
        <v>169</v>
      </c>
      <c r="D19" s="40">
        <v>20</v>
      </c>
      <c r="E19" s="40">
        <v>2</v>
      </c>
      <c r="F19" s="40">
        <v>8972</v>
      </c>
      <c r="G19" s="40"/>
      <c r="H19" s="40"/>
      <c r="I19" s="40"/>
    </row>
    <row r="20" spans="2:9" x14ac:dyDescent="0.25">
      <c r="B20" s="39" t="s">
        <v>182</v>
      </c>
      <c r="C20" s="40" t="s">
        <v>169</v>
      </c>
      <c r="D20" s="40">
        <v>20</v>
      </c>
      <c r="E20" s="40">
        <v>0</v>
      </c>
      <c r="F20" s="40">
        <v>7795</v>
      </c>
      <c r="G20" s="40"/>
      <c r="H20" s="40"/>
      <c r="I20" s="40"/>
    </row>
    <row r="21" spans="2:9" x14ac:dyDescent="0.25">
      <c r="B21" s="39" t="s">
        <v>183</v>
      </c>
      <c r="C21" s="40" t="s">
        <v>172</v>
      </c>
      <c r="D21" s="40">
        <v>30</v>
      </c>
      <c r="E21" s="40">
        <v>4</v>
      </c>
      <c r="F21" s="40">
        <v>18500</v>
      </c>
      <c r="G21" s="40"/>
      <c r="H21" s="40"/>
      <c r="I21" s="40"/>
    </row>
    <row r="22" spans="2:9" x14ac:dyDescent="0.25">
      <c r="B22" s="39" t="s">
        <v>184</v>
      </c>
      <c r="C22" s="40" t="s">
        <v>172</v>
      </c>
      <c r="D22" s="40">
        <v>20</v>
      </c>
      <c r="E22" s="40">
        <v>0</v>
      </c>
      <c r="F22" s="40">
        <v>6500</v>
      </c>
      <c r="G22" s="40"/>
      <c r="H22" s="40"/>
      <c r="I22" s="40"/>
    </row>
  </sheetData>
  <mergeCells count="1">
    <mergeCell ref="B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VERGARA BUSTAMANTE DIEGO I</cp:lastModifiedBy>
  <dcterms:created xsi:type="dcterms:W3CDTF">2025-11-24T22:32:06Z</dcterms:created>
  <dcterms:modified xsi:type="dcterms:W3CDTF">2025-12-15T02:26:01Z</dcterms:modified>
</cp:coreProperties>
</file>